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c266fce1b734c9b" /></Relationships>
</file>

<file path=xl/workbook.xml><?xml version="1.0" encoding="utf-8"?>
<x:workbook xmlns:x="http://schemas.openxmlformats.org/spreadsheetml/2006/main">
  <x:sheets>
    <x:sheet xmlns:r="http://schemas.openxmlformats.org/officeDocument/2006/relationships" name="Sources" sheetId="1" r:id="R7f73c177ab074344"/>
    <x:sheet xmlns:r="http://schemas.openxmlformats.org/officeDocument/2006/relationships" name="Relationships" sheetId="2" r:id="R897a3f23b7bb4184"/>
    <x:sheet xmlns:r="http://schemas.openxmlformats.org/officeDocument/2006/relationships" name="DISR Evidence" sheetId="3" r:id="R7e21fcbb459d4e22"/>
    <x:sheet xmlns:r="http://schemas.openxmlformats.org/officeDocument/2006/relationships" name="Project Recovery" sheetId="4" r:id="Rf7d877b4815e49d7"/>
    <x:sheet xmlns:r="http://schemas.openxmlformats.org/officeDocument/2006/relationships" name="Research Queue" sheetId="5" r:id="R7ab442e03de944d3"/>
    <x:sheet xmlns:r="http://schemas.openxmlformats.org/officeDocument/2006/relationships" name="Openness" sheetId="6" r:id="R3aebaf56f430403d"/>
    <x:sheet xmlns:r="http://schemas.openxmlformats.org/officeDocument/2006/relationships" name="Readme" sheetId="7" r:id="Rb0be5ab86be54d64"/>
    <x:sheet xmlns:r="http://schemas.openxmlformats.org/officeDocument/2006/relationships" name="Adoption &amp; Actions" sheetId="8" r:id="Rdcc4cab9fbf14414"/>
    <x:sheet xmlns:r="http://schemas.openxmlformats.org/officeDocument/2006/relationships" name="Intended Use" sheetId="9" r:id="R0d63d688e5384bfb"/>
    <x:sheet xmlns:r="http://schemas.openxmlformats.org/officeDocument/2006/relationships" name="Search Log" sheetId="10" r:id="R2457c95a6ee740c5"/>
    <x:sheet xmlns:r="http://schemas.openxmlformats.org/officeDocument/2006/relationships" name="Conformance Plan" sheetId="11" r:id="R064ca6f77258493e"/>
    <x:sheet xmlns:r="http://schemas.openxmlformats.org/officeDocument/2006/relationships" name="OGC Comparison" sheetId="12" r:id="R1a0e32a3c8084559"/>
    <x:sheet xmlns:r="http://schemas.openxmlformats.org/officeDocument/2006/relationships" name="Rule Probes" sheetId="13" r:id="R3aa971dde8254a00"/>
    <x:sheet xmlns:r="http://schemas.openxmlformats.org/officeDocument/2006/relationships" name="Worked Comparison" sheetId="14" r:id="R67446b1448484248"/>
    <x:sheet xmlns:r="http://schemas.openxmlformats.org/officeDocument/2006/relationships" name="Family Applicability" sheetId="15" r:id="R3e97101c300042ff"/>
    <x:sheet xmlns:r="http://schemas.openxmlformats.org/officeDocument/2006/relationships" name="Study ID Crosswalk" sheetId="16" r:id="R721683d953724f79"/>
    <x:sheet xmlns:r="http://schemas.openxmlformats.org/officeDocument/2006/relationships" name="Workstream Ledger" sheetId="17" r:id="R2da9d5a2b8e74d5b"/>
    <x:sheet xmlns:r="http://schemas.openxmlformats.org/officeDocument/2006/relationships" name="Evidence Gates" sheetId="18" r:id="Rb624011df1dd4055"/>
    <x:sheet xmlns:r="http://schemas.openxmlformats.org/officeDocument/2006/relationships" name="Applied R01-R20" sheetId="19" r:id="R7637a70389bc48a2"/>
    <x:sheet xmlns:r="http://schemas.openxmlformats.org/officeDocument/2006/relationships" name="Donor Lineage" sheetId="20" r:id="Rdc92bcb1759e4d91"/>
    <x:sheet xmlns:r="http://schemas.openxmlformats.org/officeDocument/2006/relationships" name="Donor Coverage" sheetId="21" r:id="Radb11a93936f4700"/>
    <x:sheet xmlns:r="http://schemas.openxmlformats.org/officeDocument/2006/relationships" name="Integration Gaps" sheetId="22" r:id="Rb29a4749f6624af8"/>
    <x:sheet xmlns:r="http://schemas.openxmlformats.org/officeDocument/2006/relationships" name="DISR Screen Handoff" sheetId="23" r:id="R83aaa4036ab84814"/>
    <x:sheet xmlns:r="http://schemas.openxmlformats.org/officeDocument/2006/relationships" name="Artifact Inventory" sheetId="24" r:id="Rb51b0e515e724b4d"/>
    <x:sheet xmlns:r="http://schemas.openxmlformats.org/officeDocument/2006/relationships" name="Change Ledger" sheetId="25" r:id="R9607915eaa4c4a48"/>
    <x:sheet xmlns:r="http://schemas.openxmlformats.org/officeDocument/2006/relationships" name="OSCAR Mapping" sheetId="26" r:id="Rf46db926d0124828"/>
    <x:sheet xmlns:r="http://schemas.openxmlformats.org/officeDocument/2006/relationships" name="OSCAR Residuals" sheetId="27" r:id="Rb7bd8400f3f647df"/>
    <x:sheet xmlns:r="http://schemas.openxmlformats.org/officeDocument/2006/relationships" name="OSCAR Dispositions" sheetId="28" r:id="Rb741abc0c5734f88"/>
    <x:sheet xmlns:r="http://schemas.openxmlformats.org/officeDocument/2006/relationships" name="OSCAR Summary" sheetId="29" r:id="Rdac118d7a01e4d6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
  </x:numFmts>
  <x:fonts count="52">
    <x:font>
      <x:sz val="11"/>
      <x:name val="Carlito"/>
    </x:font>
    <x:font>
      <x:sz val="11"/>
      <x:color rgb="FF243A46"/>
      <x:name val="Carlito"/>
    </x:font>
    <x:font>
      <x:b/>
      <x:sz val="11"/>
      <x:color rgb="FFFFFFFF"/>
      <x:name val="Carlito"/>
    </x:font>
    <x:font>
      <x:b/>
      <x:sz val="11"/>
      <x:color rgb="FF243A46"/>
      <x:name val="Carlito"/>
    </x:font>
    <x:font>
      <x:sz val="11"/>
      <x:color rgb="FF233E4C"/>
      <x:name val="Calibri"/>
    </x:font>
    <x:font>
      <x:b/>
      <x:sz val="16"/>
      <x:color rgb="FFFFFFFF"/>
      <x:name val="Calibri"/>
    </x:font>
    <x:font>
      <x:b/>
      <x:sz val="11"/>
      <x:color rgb="FFFFFFFF"/>
      <x:name val="Calibri"/>
    </x:font>
    <x:font>
      <x:b/>
      <x:sz val="11"/>
      <x:color rgb="FF087F8C"/>
      <x:name val="Carlito"/>
    </x:font>
    <x:font>
      <x:sz val="11"/>
      <x:color rgb="FF233E4C"/>
      <x:name val="Carlito"/>
    </x:font>
    <x:font>
      <x:b/>
      <x:sz val="17"/>
      <x:color rgb="FFFFFFFF"/>
      <x:name val="Carlito"/>
    </x:font>
    <x:font>
      <x:sz val="11"/>
      <x:color rgb="FF36505A"/>
      <x:name val="Carlito"/>
    </x:font>
    <x:font>
      <x:sz val="11"/>
      <x:color rgb="FF183A46"/>
      <x:name val="Carlito"/>
    </x:font>
    <x:font>
      <x:b/>
      <x:sz val="12"/>
      <x:color rgb="FFFFFFFF"/>
      <x:name val="Carlito"/>
    </x:font>
    <x:font>
      <x:b/>
      <x:sz val="10"/>
      <x:color rgb="FF203744"/>
      <x:name val="Calibri"/>
    </x:font>
    <x:font>
      <x:sz val="10"/>
      <x:color rgb="FF203744"/>
      <x:name val="Calibri"/>
    </x:font>
    <x:font>
      <x:b/>
      <x:sz val="17"/>
      <x:color rgb="FFFFFFFF"/>
      <x:name val="Calibri"/>
    </x:font>
    <x:font>
      <x:sz val="11"/>
      <x:color rgb="FF203744"/>
      <x:name val="Calibri"/>
    </x:font>
    <x:font>
      <x:b/>
      <x:sz val="10"/>
      <x:color rgb="FFFFFFFF"/>
      <x:name val="Calibri"/>
    </x:font>
    <x:font>
      <x:b/>
      <x:sz val="10"/>
      <x:color rgb="FF087E8B"/>
      <x:name val="Calibri"/>
    </x:font>
    <x:font>
      <x:b/>
      <x:sz val="11"/>
      <x:color rgb="FF203744"/>
      <x:name val="Calibri"/>
    </x:font>
    <x:font>
      <x:b/>
      <x:sz val="21"/>
      <x:color rgb="FFFFFFFF"/>
      <x:name val="Calibri"/>
    </x:font>
    <x:font>
      <x:sz val="12"/>
      <x:color rgb="FF203744"/>
      <x:name val="Calibri"/>
    </x:font>
    <x:font>
      <x:b/>
      <x:sz val="28"/>
      <x:color rgb="FF17364D"/>
      <x:name val="Calibri"/>
    </x:font>
    <x:font>
      <x:b/>
      <x:sz val="12"/>
      <x:color rgb="FFFFFFFF"/>
      <x:name val="Calibri"/>
    </x:font>
    <x:font>
      <x:sz val="11"/>
      <x:color rgb="FF203744"/>
      <x:name val="Calibri"/>
    </x:font>
    <x:font>
      <x:sz val="10"/>
      <x:name val="Carlito"/>
    </x:font>
    <x:font>
      <x:sz val="11"/>
      <x:name val="Calibri"/>
    </x:font>
    <x:font>
      <x:sz val="10"/>
      <x:name val="Calibri"/>
    </x:font>
    <x:font>
      <x:b/>
      <x:sz val="15"/>
      <x:color rgb="FFFFFFFF"/>
      <x:name val="Calibri"/>
    </x:font>
    <x:font>
      <x:sz val="10"/>
      <x:color rgb="FF17344D"/>
      <x:name val="Calibri"/>
    </x:font>
    <x:font>
      <x:sz val="10"/>
      <x:color rgb="FF243746"/>
      <x:name val="Calibri"/>
    </x:font>
    <x:font>
      <x:sz val="10"/>
      <x:color rgb="FF196B73"/>
      <x:name val="Calibri"/>
    </x:font>
    <x:font>
      <x:b/>
      <x:sz val="11"/>
      <x:color rgb="FF243746"/>
      <x:name val="Calibri"/>
    </x:font>
    <x:font>
      <x:sz val="11"/>
      <x:color rgb="FF243746"/>
      <x:name val="Calibri"/>
    </x:font>
    <x:font>
      <x:b/>
      <x:sz val="19"/>
      <x:color rgb="FFFFFFFF"/>
      <x:name val="Calibri"/>
    </x:font>
    <x:font>
      <x:b/>
      <x:sz val="25"/>
      <x:color rgb="FF163A50"/>
      <x:name val="Calibri"/>
    </x:font>
    <x:font>
      <x:b/>
      <x:sz val="11"/>
      <x:color rgb="FF163A50"/>
      <x:name val="Calibri"/>
    </x:font>
    <x:font>
      <x:b/>
      <x:sz val="11"/>
      <x:color rgb="FF176B86"/>
      <x:name val="Carlito"/>
    </x:font>
    <x:font>
      <x:b/>
      <x:sz val="10"/>
      <x:color rgb="FFFFFFFF"/>
      <x:name val="Carlito"/>
    </x:font>
    <x:font>
      <x:sz val="10"/>
      <x:name val="Aptos"/>
    </x:font>
    <x:font>
      <x:sz val="10"/>
      <x:color rgb="FF243B4A"/>
      <x:name val="Aptos"/>
    </x:font>
    <x:font>
      <x:b/>
      <x:sz val="10"/>
      <x:color rgb="FFFFFFFF"/>
      <x:name val="Aptos"/>
    </x:font>
    <x:font>
      <x:i/>
      <x:sz val="10"/>
      <x:color rgb="FF536977"/>
      <x:name val="Calibri"/>
    </x:font>
    <x:font>
      <x:b/>
      <x:sz val="10"/>
      <x:color rgb="FF243B4A"/>
      <x:name val="Aptos"/>
    </x:font>
    <x:font>
      <x:b/>
      <x:sz val="20"/>
      <x:color rgb="FFFFFFFF"/>
      <x:name val="Calibri"/>
    </x:font>
    <x:font>
      <x:b/>
      <x:sz val="28"/>
      <x:color rgb="FF087F8C"/>
      <x:name val="Calibri"/>
    </x:font>
    <x:font>
      <x:b/>
      <x:sz val="11"/>
      <x:color rgb="FF185560"/>
      <x:name val="Calibri"/>
    </x:font>
    <x:font>
      <x:b/>
      <x:sz val="11"/>
      <x:color rgb="FF243B4A"/>
      <x:name val="Aptos"/>
    </x:font>
    <x:font>
      <x:sz val="11"/>
      <x:color rgb="FF243B4A"/>
      <x:name val="Aptos"/>
    </x:font>
    <x:font>
      <x:sz val="11"/>
      <x:color rgb="FF17384A"/>
      <x:name val="Aptos"/>
    </x:font>
    <x:font>
      <x:b/>
      <x:sz val="16"/>
      <x:color rgb="FFFFFFFF"/>
      <x:name val="Carlito"/>
    </x:font>
    <x:font>
      <x:b/>
      <x:sz val="16"/>
      <x:color rgb="FF123047"/>
      <x:name val="Carlito"/>
    </x:font>
  </x:fonts>
  <x:fills count="38">
    <x:fill>
      <x:patternFill patternType="none"/>
    </x:fill>
    <x:fill>
      <x:patternFill patternType="gray125"/>
    </x:fill>
    <x:fill>
      <x:patternFill patternType="solid">
        <x:fgColor rgb="FF183B52"/>
      </x:patternFill>
    </x:fill>
    <x:fill>
      <x:patternFill patternType="solid">
        <x:fgColor rgb="FFEAF2F4"/>
      </x:patternFill>
    </x:fill>
    <x:fill>
      <x:patternFill patternType="solid">
        <x:fgColor rgb="FF147D86"/>
      </x:patternFill>
    </x:fill>
    <x:fill>
      <x:patternFill patternType="solid">
        <x:fgColor rgb="FFFFFFFF"/>
      </x:patternFill>
    </x:fill>
    <x:fill>
      <x:patternFill patternType="solid">
        <x:fgColor rgb="FFFFF2CC"/>
      </x:patternFill>
    </x:fill>
    <x:fill>
      <x:patternFill patternType="solid">
        <x:fgColor rgb="FF183D55"/>
      </x:patternFill>
    </x:fill>
    <x:fill>
      <x:patternFill patternType="solid">
        <x:fgColor rgb="FFEDF4F6"/>
      </x:patternFill>
    </x:fill>
    <x:fill>
      <x:patternFill patternType="solid">
        <x:fgColor rgb="FF087F8C"/>
      </x:patternFill>
    </x:fill>
    <x:fill>
      <x:patternFill patternType="solid">
        <x:fgColor rgb="FF123D4A"/>
      </x:patternFill>
    </x:fill>
    <x:fill>
      <x:patternFill patternType="solid">
        <x:fgColor rgb="FFE8F1F4"/>
      </x:patternFill>
    </x:fill>
    <x:fill>
      <x:patternFill patternType="solid">
        <x:fgColor rgb="FF176B7B"/>
      </x:patternFill>
    </x:fill>
    <x:fill>
      <x:patternFill patternType="solid">
        <x:fgColor rgb="FFEDF4F6"/>
      </x:patternFill>
    </x:fill>
    <x:fill>
      <x:patternFill patternType="solid">
        <x:fgColor rgb="FFFFF0D4"/>
      </x:patternFill>
    </x:fill>
    <x:fill>
      <x:patternFill patternType="solid">
        <x:fgColor rgb="FFFFFFFF"/>
      </x:patternFill>
    </x:fill>
    <x:fill>
      <x:patternFill patternType="solid">
        <x:fgColor rgb="FF17364D"/>
      </x:patternFill>
    </x:fill>
    <x:fill>
      <x:patternFill patternType="solid">
        <x:fgColor rgb="FFEAF3F6"/>
      </x:patternFill>
    </x:fill>
    <x:fill>
      <x:patternFill patternType="solid">
        <x:fgColor rgb="FF087E8B"/>
      </x:patternFill>
    </x:fill>
    <x:fill>
      <x:patternFill patternType="solid">
        <x:fgColor rgb="FFF4F7F9"/>
      </x:patternFill>
    </x:fill>
    <x:fill>
      <x:patternFill patternType="solid">
        <x:fgColor rgb="FF17344D"/>
      </x:patternFill>
    </x:fill>
    <x:fill>
      <x:patternFill patternType="solid">
        <x:fgColor rgb="FFEEF4F7"/>
      </x:patternFill>
    </x:fill>
    <x:fill>
      <x:patternFill patternType="solid">
        <x:fgColor rgb="FF087F8C"/>
      </x:patternFill>
    </x:fill>
    <x:fill>
      <x:patternFill patternType="solid">
        <x:fgColor rgb="FFEAF3F4"/>
      </x:patternFill>
    </x:fill>
    <x:fill>
      <x:patternFill patternType="solid">
        <x:fgColor rgb="FF163A50"/>
      </x:patternFill>
    </x:fill>
    <x:fill>
      <x:patternFill patternType="solid">
        <x:fgColor rgb="FF196B73"/>
      </x:patternFill>
    </x:fill>
    <x:fill>
      <x:patternFill patternType="solid">
        <x:fgColor rgb="FFFFFFFF"/>
      </x:patternFill>
    </x:fill>
    <x:fill>
      <x:patternFill patternType="solid">
        <x:fgColor rgb="FFEEF1F4"/>
      </x:patternFill>
    </x:fill>
    <x:fill>
      <x:patternFill patternType="solid">
        <x:fgColor rgb="FFF7FAFD"/>
      </x:patternFill>
    </x:fill>
    <x:fill>
      <x:patternFill patternType="solid">
        <x:fgColor rgb="FF183A54"/>
      </x:patternFill>
    </x:fill>
    <x:fill>
      <x:patternFill patternType="solid">
        <x:fgColor rgb="FFF0F6FA"/>
      </x:patternFill>
    </x:fill>
    <x:fill>
      <x:patternFill patternType="solid">
        <x:fgColor rgb="FF087F8C"/>
      </x:patternFill>
    </x:fill>
    <x:fill>
      <x:patternFill patternType="solid">
        <x:fgColor rgb="FFE6F2F3"/>
      </x:patternFill>
    </x:fill>
    <x:fill>
      <x:patternFill patternType="solid">
        <x:fgColor rgb="FFE6F1F3"/>
      </x:patternFill>
    </x:fill>
    <x:fill>
      <x:patternFill patternType="solid">
        <x:fgColor rgb="FFF6F9FA"/>
      </x:patternFill>
    </x:fill>
    <x:fill>
      <x:patternFill patternType="solid">
        <x:fgColor rgb="FF087E8B"/>
      </x:patternFill>
    </x:fill>
    <x:fill>
      <x:patternFill patternType="solid">
        <x:fgColor rgb="FF123047"/>
      </x:patternFill>
    </x:fill>
    <x:fill>
      <x:patternFill patternType="solid">
        <x:fgColor rgb="FFEAF3F6"/>
      </x:patternFill>
    </x:fill>
  </x:fills>
  <x:borders count="2">
    <x:border/>
    <x:border/>
  </x:borders>
  <x:cellStyleXfs count="1">
    <x:xf numFmtId="0" fontId="0" fillId="0" borderId="0"/>
  </x:cellStyleXfs>
  <x:cellXfs count="37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3" borderId="1" xfId="0" applyNumberFormat="1" applyFont="1" applyFill="1" applyBorder="1" applyAlignment="1">
      <x:alignment vertical="top" wrapText="1"/>
    </x:xf>
    <x:xf numFmtId="0" fontId="1" fillId="4" borderId="0" xfId="0" applyNumberFormat="1" applyFont="1" applyFill="1" applyBorder="1" applyAlignment="1">
      <x:alignment vertical="top" wrapText="1"/>
    </x:xf>
    <x:xf numFmtId="0" fontId="2"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2" fillId="4" borderId="1"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1" fillId="6" borderId="0" xfId="0" applyNumberFormat="1" applyFont="1" applyFill="1" applyBorder="1" applyAlignment="1">
      <x:alignment vertical="top" wrapText="1"/>
    </x:xf>
    <x:xf numFmtId="0" fontId="1" fillId="6" borderId="1" xfId="0" applyNumberFormat="1" applyFont="1" applyFill="1" applyBorder="1" applyAlignment="1">
      <x:alignment vertical="top" wrapText="1"/>
    </x:xf>
    <x:xf numFmtId="0" fontId="0" fillId="0" borderId="0" xfId="0" applyNumberFormat="1" applyFont="1" applyFill="1" applyBorder="1"/>
    <x:xf numFmtId="200" fontId="0" fillId="0"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4" fillId="0" borderId="0" xfId="0" applyNumberFormat="1" applyFont="1" applyFill="1" applyBorder="1"/>
    <x:xf numFmtId="0" fontId="4" fillId="7" borderId="0" xfId="0" applyNumberFormat="1" applyFont="1" applyFill="1" applyBorder="1"/>
    <x:xf numFmtId="0" fontId="5" fillId="7"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center" wrapText="1"/>
    </x:xf>
    <x:xf numFmtId="0" fontId="4" fillId="9" borderId="0" xfId="0" applyNumberFormat="1" applyFont="1" applyFill="1" applyBorder="1"/>
    <x:xf numFmtId="0" fontId="6" fillId="9" borderId="0" xfId="0" applyNumberFormat="1" applyFont="1" applyFill="1" applyBorder="1"/>
    <x:xf numFmtId="0" fontId="6" fillId="9" borderId="0" xfId="0" applyNumberFormat="1" applyFont="1" applyFill="1" applyBorder="1" applyAlignment="1">
      <x:alignment wrapText="1"/>
    </x:xf>
    <x:xf numFmtId="0" fontId="6" fillId="9" borderId="0" xfId="0" applyNumberFormat="1" applyFont="1" applyFill="1" applyBorder="1" applyAlignment="1">
      <x:alignment vertical="center"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7" borderId="0" xfId="0" applyNumberFormat="1" applyFont="1" applyFill="1" applyBorder="1" applyAlignment="1">
      <x:alignment vertical="top" wrapText="1"/>
    </x:xf>
    <x:xf numFmtId="0" fontId="0" fillId="8" borderId="0" xfId="0" applyNumberFormat="1" applyFont="1" applyFill="1" applyBorder="1" applyAlignment="1">
      <x:alignment wrapText="1"/>
    </x:xf>
    <x:xf numFmtId="0" fontId="7" fillId="8" borderId="0" xfId="0" applyNumberFormat="1" applyFont="1" applyFill="1" applyBorder="1" applyAlignment="1">
      <x:alignment wrapText="1"/>
    </x:xf>
    <x:xf numFmtId="0" fontId="0" fillId="8" borderId="0" xfId="0" applyNumberFormat="1" applyFont="1" applyFill="1" applyBorder="1"/>
    <x:xf numFmtId="0" fontId="8" fillId="8" borderId="0" xfId="0" applyNumberFormat="1" applyFont="1" applyFill="1" applyBorder="1"/>
    <x:xf numFmtId="0" fontId="8" fillId="8" borderId="0" xfId="0" applyNumberFormat="1" applyFont="1" applyFill="1" applyBorder="1" applyAlignment="1">
      <x:alignment wrapText="1"/>
    </x:xf>
    <x:xf numFmtId="0" fontId="8" fillId="8" borderId="0" xfId="0" applyNumberFormat="1" applyFont="1" applyFill="1" applyBorder="1" applyAlignment="1">
      <x:alignment vertical="center" wrapText="1"/>
    </x:xf>
    <x:xf numFmtId="0" fontId="0" fillId="10" borderId="0" xfId="0" applyNumberFormat="1" applyFont="1" applyFill="1" applyBorder="1"/>
    <x:xf numFmtId="0" fontId="9" fillId="10" borderId="0" xfId="0" applyNumberFormat="1" applyFont="1" applyFill="1" applyBorder="1"/>
    <x:xf numFmtId="0" fontId="9" fillId="10" borderId="0" xfId="0" applyNumberFormat="1" applyFont="1" applyFill="1" applyBorder="1" applyAlignment="1">
      <x:alignment vertical="center"/>
    </x:xf>
    <x:xf numFmtId="0" fontId="0" fillId="11" borderId="0" xfId="0" applyNumberFormat="1" applyFont="1" applyFill="1" applyBorder="1"/>
    <x:xf numFmtId="0" fontId="10" fillId="11" borderId="0" xfId="0" applyNumberFormat="1" applyFont="1" applyFill="1" applyBorder="1"/>
    <x:xf numFmtId="0" fontId="10" fillId="11" borderId="0" xfId="0" applyNumberFormat="1" applyFont="1" applyFill="1" applyBorder="1" applyAlignment="1">
      <x:alignment wrapText="1"/>
    </x:xf>
    <x:xf numFmtId="0" fontId="10" fillId="11" borderId="0" xfId="0" applyNumberFormat="1" applyFont="1" applyFill="1" applyBorder="1" applyAlignment="1">
      <x:alignment vertical="center"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13" borderId="0" xfId="0" applyNumberFormat="1" applyFont="1" applyFill="1" applyBorder="1" applyAlignment="1">
      <x:alignment vertical="top" wrapText="1"/>
    </x:xf>
    <x:xf numFmtId="201" fontId="11" fillId="13" borderId="0" xfId="0" applyNumberFormat="1" applyFont="1" applyFill="1" applyBorder="1" applyAlignment="1">
      <x:alignment vertical="top" wrapText="1"/>
    </x:xf>
    <x:xf numFmtId="201" fontId="11" fillId="0" borderId="0" xfId="0" applyNumberFormat="1" applyFont="1" applyFill="1" applyBorder="1" applyAlignment="1">
      <x:alignment vertical="top" wrapText="1"/>
    </x:xf>
    <x:xf numFmtId="0" fontId="11" fillId="14" borderId="0" xfId="0" applyNumberFormat="1" applyFont="1" applyFill="1" applyBorder="1" applyAlignment="1">
      <x:alignment vertical="top" wrapText="1"/>
    </x:xf>
    <x:xf numFmtId="0" fontId="8" fillId="12" borderId="0" xfId="0" applyNumberFormat="1" applyFont="1" applyFill="1" applyBorder="1" applyAlignment="1">
      <x:alignment vertical="center" wrapText="1"/>
    </x:xf>
    <x:xf numFmtId="0" fontId="12" fillId="12" borderId="0" xfId="0" applyNumberFormat="1" applyFont="1" applyFill="1" applyBorder="1" applyAlignment="1">
      <x:alignment vertical="center" wrapText="1"/>
    </x:xf>
    <x:xf numFmtId="0" fontId="0" fillId="0" borderId="0" xfId="0" applyNumberFormat="1" applyFont="1" applyFill="1" applyBorder="1" applyAlignment="1">
      <x:alignment vertical="top" wrapText="1"/>
    </x:xf>
    <x:xf numFmtId="0" fontId="12" fillId="12" borderId="0" xfId="0" applyNumberFormat="1" applyFont="1" applyFill="1" applyBorder="1"/>
    <x:xf numFmtId="0" fontId="8" fillId="11" borderId="0" xfId="0" applyNumberFormat="1" applyFont="1" applyFill="1" applyBorder="1" applyAlignment="1">
      <x:alignment vertical="center" wrapText="1"/>
    </x:xf>
    <x:xf numFmtId="0" fontId="11" fillId="11" borderId="0" xfId="0" applyNumberFormat="1" applyFont="1" applyFill="1" applyBorder="1" applyAlignment="1">
      <x:alignment vertical="center" wrapText="1"/>
    </x:xf>
    <x:xf numFmtId="0" fontId="11" fillId="8" borderId="0" xfId="0" applyNumberFormat="1" applyFont="1" applyFill="1" applyBorder="1" applyAlignment="1">
      <x:alignment vertical="top" wrapText="1"/>
    </x:xf>
    <x:xf numFmtId="201" fontId="11" fillId="8" borderId="0" xfId="0" applyNumberFormat="1" applyFont="1" applyFill="1" applyBorder="1" applyAlignment="1">
      <x:alignment vertical="top" wrapText="1"/>
    </x:xf>
    <x:xf numFmtId="0" fontId="2" fillId="15" borderId="0" xfId="0" applyNumberFormat="1" applyFont="1" applyFill="1" applyBorder="1" applyAlignment="1">
      <x:alignment vertical="top" wrapText="1"/>
    </x:xf>
    <x:xf numFmtId="0" fontId="1" fillId="15" borderId="0" xfId="0" applyNumberFormat="1" applyFont="1" applyFill="1" applyBorder="1" applyAlignment="1">
      <x:alignment vertical="top" wrapText="1"/>
    </x:xf>
    <x:xf numFmtId="200" fontId="1" fillId="15" borderId="0" xfId="0" applyNumberFormat="1" applyFont="1" applyFill="1" applyBorder="1" applyAlignment="1">
      <x:alignment vertical="top" wrapText="1"/>
    </x:xf>
    <x:xf numFmtId="0" fontId="0" fillId="15" borderId="0" xfId="0" applyNumberFormat="1" applyFont="1" applyFill="1" applyBorder="1" applyAlignment="1">
      <x:alignment wrapText="1"/>
    </x:xf>
    <x:xf numFmtId="200" fontId="0" fillId="15" borderId="0" xfId="0" applyNumberFormat="1" applyFont="1" applyFill="1" applyBorder="1" applyAlignment="1">
      <x:alignment wrapText="1"/>
    </x:xf>
    <x:xf numFmtId="0" fontId="0" fillId="15" borderId="0" xfId="0" applyNumberFormat="1" applyFont="1" applyFill="1" applyBorder="1"/>
    <x:xf numFmtId="0" fontId="13" fillId="15" borderId="0" xfId="0" applyNumberFormat="1" applyFont="1" applyFill="1" applyBorder="1" applyAlignment="1">
      <x:alignment vertical="top" wrapText="1"/>
    </x:xf>
    <x:xf numFmtId="0" fontId="14" fillId="15" borderId="0" xfId="0" applyNumberFormat="1" applyFont="1" applyFill="1" applyBorder="1" applyAlignment="1">
      <x:alignment vertical="top" wrapText="1"/>
    </x:xf>
    <x:xf numFmtId="200" fontId="14" fillId="15" borderId="0" xfId="0" applyNumberFormat="1" applyFont="1" applyFill="1" applyBorder="1" applyAlignment="1">
      <x:alignment vertical="top" wrapText="1"/>
    </x:xf>
    <x:xf numFmtId="0" fontId="14" fillId="15" borderId="0" xfId="0" applyNumberFormat="1" applyFont="1" applyFill="1" applyBorder="1" applyAlignment="1">
      <x:alignment wrapText="1"/>
    </x:xf>
    <x:xf numFmtId="200" fontId="14" fillId="15" borderId="0" xfId="0" applyNumberFormat="1" applyFont="1" applyFill="1" applyBorder="1" applyAlignment="1">
      <x:alignment wrapText="1"/>
    </x:xf>
    <x:xf numFmtId="0" fontId="14" fillId="15" borderId="0" xfId="0" applyNumberFormat="1" applyFont="1" applyFill="1" applyBorder="1"/>
    <x:xf numFmtId="0" fontId="13" fillId="15" borderId="0" xfId="0" applyNumberFormat="1" applyFont="1" applyFill="1" applyBorder="1" applyAlignment="1">
      <x:alignment horizontal="left" vertical="top" wrapText="1"/>
    </x:xf>
    <x:xf numFmtId="0" fontId="14" fillId="15" borderId="0" xfId="0" applyNumberFormat="1" applyFont="1" applyFill="1" applyBorder="1" applyAlignment="1">
      <x:alignment horizontal="left" vertical="top" wrapText="1"/>
    </x:xf>
    <x:xf numFmtId="200" fontId="14" fillId="15" borderId="0" xfId="0" applyNumberFormat="1" applyFont="1" applyFill="1" applyBorder="1" applyAlignment="1">
      <x:alignment horizontal="left" vertical="top" wrapText="1"/>
    </x:xf>
    <x:xf numFmtId="0" fontId="14" fillId="15" borderId="0" xfId="0" applyNumberFormat="1" applyFont="1" applyFill="1" applyBorder="1" applyAlignment="1">
      <x:alignment horizontal="left" wrapText="1"/>
    </x:xf>
    <x:xf numFmtId="200" fontId="14" fillId="15" borderId="0" xfId="0" applyNumberFormat="1" applyFont="1" applyFill="1" applyBorder="1" applyAlignment="1">
      <x:alignment horizontal="left" wrapText="1"/>
    </x:xf>
    <x:xf numFmtId="0" fontId="13" fillId="16" borderId="0" xfId="0" applyNumberFormat="1" applyFont="1" applyFill="1" applyBorder="1" applyAlignment="1">
      <x:alignment horizontal="left" vertical="top" wrapText="1"/>
    </x:xf>
    <x:xf numFmtId="0" fontId="15" fillId="16" borderId="0" xfId="0" applyNumberFormat="1" applyFont="1" applyFill="1" applyBorder="1" applyAlignment="1">
      <x:alignment horizontal="left" vertical="top" wrapText="1"/>
    </x:xf>
    <x:xf numFmtId="0" fontId="15" fillId="16" borderId="0" xfId="0" applyNumberFormat="1" applyFont="1" applyFill="1" applyBorder="1" applyAlignment="1">
      <x:alignment horizontal="left" vertical="center" wrapText="1"/>
    </x:xf>
    <x:xf numFmtId="0" fontId="14" fillId="17" borderId="0" xfId="0" applyNumberFormat="1" applyFont="1" applyFill="1" applyBorder="1" applyAlignment="1">
      <x:alignment horizontal="left" vertical="top" wrapText="1"/>
    </x:xf>
    <x:xf numFmtId="0" fontId="16" fillId="17" borderId="0" xfId="0" applyNumberFormat="1" applyFont="1" applyFill="1" applyBorder="1" applyAlignment="1">
      <x:alignment horizontal="left" vertical="top" wrapText="1"/>
    </x:xf>
    <x:xf numFmtId="0" fontId="16" fillId="17" borderId="0" xfId="0" applyNumberFormat="1" applyFont="1" applyFill="1" applyBorder="1" applyAlignment="1">
      <x:alignment horizontal="left" vertical="center" wrapText="1"/>
    </x:xf>
    <x:xf numFmtId="0" fontId="13" fillId="18" borderId="0" xfId="0" applyNumberFormat="1" applyFont="1" applyFill="1" applyBorder="1" applyAlignment="1">
      <x:alignment horizontal="left" vertical="top" wrapText="1"/>
    </x:xf>
    <x:xf numFmtId="0" fontId="17" fillId="18" borderId="0" xfId="0" applyNumberFormat="1" applyFont="1" applyFill="1" applyBorder="1" applyAlignment="1">
      <x:alignment horizontal="left" vertical="top" wrapText="1"/>
    </x:xf>
    <x:xf numFmtId="0" fontId="17" fillId="18" borderId="0" xfId="0" applyNumberFormat="1" applyFont="1" applyFill="1" applyBorder="1" applyAlignment="1">
      <x:alignment horizontal="left" vertical="center" wrapText="1"/>
    </x:xf>
    <x:xf numFmtId="0" fontId="14" fillId="19" borderId="0" xfId="0" applyNumberFormat="1" applyFont="1" applyFill="1" applyBorder="1" applyAlignment="1">
      <x:alignment horizontal="left" vertical="top" wrapText="1"/>
    </x:xf>
    <x:xf numFmtId="200" fontId="14" fillId="19" borderId="0" xfId="0" applyNumberFormat="1" applyFont="1" applyFill="1" applyBorder="1" applyAlignment="1">
      <x:alignment horizontal="left" vertical="top" wrapText="1"/>
    </x:xf>
    <x:xf numFmtId="0" fontId="18" fillId="19" borderId="0" xfId="0" applyNumberFormat="1" applyFont="1" applyFill="1" applyBorder="1" applyAlignment="1">
      <x:alignment horizontal="left" vertical="top" wrapText="1"/>
    </x:xf>
    <x:xf numFmtId="0" fontId="18" fillId="15" borderId="0" xfId="0" applyNumberFormat="1" applyFont="1" applyFill="1" applyBorder="1" applyAlignment="1">
      <x:alignment horizontal="left" vertical="top" wrapText="1"/>
    </x:xf>
    <x:xf numFmtId="0" fontId="5" fillId="15" borderId="0" xfId="0" applyNumberFormat="1" applyFont="1" applyFill="1" applyBorder="1"/>
    <x:xf numFmtId="0" fontId="4" fillId="15" borderId="0" xfId="0" applyNumberFormat="1" applyFont="1" applyFill="1" applyBorder="1" applyAlignment="1">
      <x:alignment vertical="center" wrapText="1"/>
    </x:xf>
    <x:xf numFmtId="0" fontId="4" fillId="15" borderId="0" xfId="0" applyNumberFormat="1" applyFont="1" applyFill="1" applyBorder="1"/>
    <x:xf numFmtId="0" fontId="6" fillId="15" borderId="0" xfId="0" applyNumberFormat="1" applyFont="1" applyFill="1" applyBorder="1" applyAlignment="1">
      <x:alignment vertical="center" wrapText="1"/>
    </x:xf>
    <x:xf numFmtId="0" fontId="4" fillId="15" borderId="0" xfId="0" applyNumberFormat="1" applyFont="1" applyFill="1" applyBorder="1" applyAlignment="1">
      <x:alignment vertical="top" wrapText="1"/>
    </x:xf>
    <x:xf numFmtId="0" fontId="13" fillId="15" borderId="0" xfId="0" applyNumberFormat="1" applyFont="1" applyFill="1" applyBorder="1"/>
    <x:xf numFmtId="0" fontId="14" fillId="15" borderId="0" xfId="0" applyNumberFormat="1" applyFont="1" applyFill="1" applyBorder="1" applyAlignment="1">
      <x:alignment vertical="center" wrapText="1"/>
    </x:xf>
    <x:xf numFmtId="0" fontId="13" fillId="15" borderId="0" xfId="0" applyNumberFormat="1" applyFont="1" applyFill="1" applyBorder="1" applyAlignment="1">
      <x:alignment vertical="center" wrapText="1"/>
    </x:xf>
    <x:xf numFmtId="0" fontId="13" fillId="15" borderId="0" xfId="0" applyNumberFormat="1" applyFont="1" applyFill="1" applyBorder="1" applyAlignment="1">
      <x:alignment wrapText="1"/>
    </x:xf>
    <x:xf numFmtId="0" fontId="13" fillId="15" borderId="0" xfId="0" applyNumberFormat="1" applyFont="1" applyFill="1" applyBorder="1" applyAlignment="1">
      <x:alignment horizontal="left" wrapText="1"/>
    </x:xf>
    <x:xf numFmtId="0" fontId="14" fillId="15" borderId="0" xfId="0" applyNumberFormat="1" applyFont="1" applyFill="1" applyBorder="1" applyAlignment="1">
      <x:alignment horizontal="left" vertical="center" wrapText="1"/>
    </x:xf>
    <x:xf numFmtId="0" fontId="13" fillId="15" borderId="0" xfId="0" applyNumberFormat="1" applyFont="1" applyFill="1" applyBorder="1" applyAlignment="1">
      <x:alignment horizontal="left" vertical="center" wrapText="1"/>
    </x:xf>
    <x:xf numFmtId="0" fontId="9" fillId="15" borderId="0" xfId="0" applyNumberFormat="1" applyFont="1" applyFill="1" applyBorder="1" applyAlignment="1">
      <x:alignment vertical="center"/>
    </x:xf>
    <x:xf numFmtId="0" fontId="10" fillId="15" borderId="0" xfId="0" applyNumberFormat="1" applyFont="1" applyFill="1" applyBorder="1" applyAlignment="1">
      <x:alignment vertical="center" wrapText="1"/>
    </x:xf>
    <x:xf numFmtId="0" fontId="2" fillId="15" borderId="0" xfId="0" applyNumberFormat="1" applyFont="1" applyFill="1" applyBorder="1" applyAlignment="1">
      <x:alignment vertical="center" wrapText="1"/>
    </x:xf>
    <x:xf numFmtId="0" fontId="11" fillId="15" borderId="0" xfId="0" applyNumberFormat="1" applyFont="1" applyFill="1" applyBorder="1" applyAlignment="1">
      <x:alignment vertical="top" wrapText="1"/>
    </x:xf>
    <x:xf numFmtId="0" fontId="13" fillId="15" borderId="0" xfId="0" applyNumberFormat="1" applyFont="1" applyFill="1" applyBorder="1" applyAlignment="1">
      <x:alignment vertical="center"/>
    </x:xf>
    <x:xf numFmtId="201" fontId="11" fillId="15" borderId="0" xfId="0" applyNumberFormat="1" applyFont="1" applyFill="1" applyBorder="1" applyAlignment="1">
      <x:alignment vertical="top" wrapText="1"/>
    </x:xf>
    <x:xf numFmtId="201" fontId="14" fillId="15" borderId="0" xfId="0" applyNumberFormat="1" applyFont="1" applyFill="1" applyBorder="1" applyAlignment="1">
      <x:alignment vertical="top" wrapText="1"/>
    </x:xf>
    <x:xf numFmtId="201" fontId="14" fillId="15" borderId="0" xfId="0" applyNumberFormat="1" applyFont="1" applyFill="1" applyBorder="1" applyAlignment="1">
      <x:alignment horizontal="left" vertical="top" wrapText="1"/>
    </x:xf>
    <x:xf numFmtId="201" fontId="14" fillId="19" borderId="0" xfId="0" applyNumberFormat="1" applyFont="1" applyFill="1" applyBorder="1" applyAlignment="1">
      <x:alignment horizontal="left" vertical="top" wrapText="1"/>
    </x:xf>
    <x:xf numFmtId="0" fontId="3" fillId="15" borderId="0" xfId="0" applyNumberFormat="1" applyFont="1" applyFill="1" applyBorder="1" applyAlignment="1">
      <x:alignment vertical="top" wrapText="1"/>
    </x:xf>
    <x:xf numFmtId="0" fontId="7" fillId="15" borderId="0" xfId="0" applyNumberFormat="1" applyFont="1" applyFill="1" applyBorder="1" applyAlignment="1">
      <x:alignment wrapText="1"/>
    </x:xf>
    <x:xf numFmtId="0" fontId="11" fillId="15" borderId="0" xfId="0" applyNumberFormat="1" applyFont="1" applyFill="1" applyBorder="1" applyAlignment="1">
      <x:alignment vertical="center" wrapText="1"/>
    </x:xf>
    <x:xf numFmtId="0" fontId="12" fillId="15" borderId="0" xfId="0" applyNumberFormat="1" applyFont="1" applyFill="1" applyBorder="1" applyAlignment="1">
      <x:alignment vertical="center" wrapText="1"/>
    </x:xf>
    <x:xf numFmtId="0" fontId="12" fillId="15" borderId="0" xfId="0" applyNumberFormat="1" applyFont="1" applyFill="1" applyBorder="1"/>
    <x:xf numFmtId="0" fontId="0" fillId="15" borderId="0" xfId="0" applyNumberFormat="1" applyFont="1" applyFill="1" applyBorder="1" applyAlignment="1">
      <x:alignment vertical="top" wrapText="1"/>
    </x:xf>
    <x:xf numFmtId="0" fontId="19" fillId="15" borderId="0" xfId="0" applyNumberFormat="1" applyFont="1" applyFill="1" applyBorder="1" applyAlignment="1">
      <x:alignment vertical="top" wrapText="1"/>
    </x:xf>
    <x:xf numFmtId="0" fontId="16" fillId="15" borderId="0" xfId="0" applyNumberFormat="1" applyFont="1" applyFill="1" applyBorder="1" applyAlignment="1">
      <x:alignment vertical="top" wrapText="1"/>
    </x:xf>
    <x:xf numFmtId="0" fontId="19" fillId="15" borderId="0" xfId="0" applyNumberFormat="1" applyFont="1" applyFill="1" applyBorder="1" applyAlignment="1">
      <x:alignment wrapText="1"/>
    </x:xf>
    <x:xf numFmtId="0" fontId="16" fillId="15" borderId="0" xfId="0" applyNumberFormat="1" applyFont="1" applyFill="1" applyBorder="1" applyAlignment="1">
      <x:alignment wrapText="1"/>
    </x:xf>
    <x:xf numFmtId="0" fontId="16" fillId="15" borderId="0" xfId="0" applyNumberFormat="1" applyFont="1" applyFill="1" applyBorder="1"/>
    <x:xf numFmtId="0" fontId="16" fillId="15" borderId="0" xfId="0" applyNumberFormat="1" applyFont="1" applyFill="1" applyBorder="1" applyAlignment="1">
      <x:alignment vertical="center" wrapText="1"/>
    </x:xf>
    <x:xf numFmtId="0" fontId="19" fillId="15" borderId="0" xfId="0" applyNumberFormat="1" applyFont="1" applyFill="1" applyBorder="1" applyAlignment="1">
      <x:alignment vertical="center" wrapText="1"/>
    </x:xf>
    <x:xf numFmtId="0" fontId="19" fillId="15" borderId="0" xfId="0" applyNumberFormat="1" applyFont="1" applyFill="1" applyBorder="1"/>
    <x:xf numFmtId="0" fontId="19" fillId="15" borderId="0" xfId="0" applyNumberFormat="1" applyFont="1" applyFill="1" applyBorder="1" applyAlignment="1">
      <x:alignment horizontal="left" vertical="top" wrapText="1"/>
    </x:xf>
    <x:xf numFmtId="0" fontId="16" fillId="15" borderId="0" xfId="0" applyNumberFormat="1" applyFont="1" applyFill="1" applyBorder="1" applyAlignment="1">
      <x:alignment horizontal="left" vertical="top" wrapText="1"/>
    </x:xf>
    <x:xf numFmtId="0" fontId="19" fillId="15" borderId="0" xfId="0" applyNumberFormat="1" applyFont="1" applyFill="1" applyBorder="1" applyAlignment="1">
      <x:alignment horizontal="left" wrapText="1"/>
    </x:xf>
    <x:xf numFmtId="0" fontId="16" fillId="15" borderId="0" xfId="0" applyNumberFormat="1" applyFont="1" applyFill="1" applyBorder="1" applyAlignment="1">
      <x:alignment horizontal="left" wrapText="1"/>
    </x:xf>
    <x:xf numFmtId="0" fontId="16" fillId="15" borderId="0" xfId="0" applyNumberFormat="1" applyFont="1" applyFill="1" applyBorder="1" applyAlignment="1">
      <x:alignment horizontal="left" vertical="center" wrapText="1"/>
    </x:xf>
    <x:xf numFmtId="0" fontId="19" fillId="15" borderId="0" xfId="0" applyNumberFormat="1" applyFont="1" applyFill="1" applyBorder="1" applyAlignment="1">
      <x:alignment horizontal="left" vertical="center" wrapText="1"/>
    </x:xf>
    <x:xf numFmtId="0" fontId="19" fillId="16" borderId="0" xfId="0" applyNumberFormat="1" applyFont="1" applyFill="1" applyBorder="1" applyAlignment="1">
      <x:alignment horizontal="left" vertical="top" wrapText="1"/>
    </x:xf>
    <x:xf numFmtId="0" fontId="20" fillId="16" borderId="0" xfId="0" applyNumberFormat="1" applyFont="1" applyFill="1" applyBorder="1" applyAlignment="1">
      <x:alignment horizontal="left" vertical="top" wrapText="1"/>
    </x:xf>
    <x:xf numFmtId="0" fontId="20" fillId="16" borderId="0" xfId="0" applyNumberFormat="1" applyFont="1" applyFill="1" applyBorder="1" applyAlignment="1">
      <x:alignment horizontal="left" vertical="center" wrapText="1"/>
    </x:xf>
    <x:xf numFmtId="0" fontId="21" fillId="17" borderId="0" xfId="0" applyNumberFormat="1" applyFont="1" applyFill="1" applyBorder="1" applyAlignment="1">
      <x:alignment horizontal="left" vertical="top" wrapText="1"/>
    </x:xf>
    <x:xf numFmtId="0" fontId="21" fillId="17" borderId="0" xfId="0" applyNumberFormat="1" applyFont="1" applyFill="1" applyBorder="1" applyAlignment="1">
      <x:alignment horizontal="left" vertical="center" wrapText="1"/>
    </x:xf>
    <x:xf numFmtId="0" fontId="16" fillId="18" borderId="0" xfId="0" applyNumberFormat="1" applyFont="1" applyFill="1" applyBorder="1" applyAlignment="1">
      <x:alignment horizontal="left" vertical="top" wrapText="1"/>
    </x:xf>
    <x:xf numFmtId="0" fontId="22" fillId="17" borderId="0" xfId="0" applyNumberFormat="1" applyFont="1" applyFill="1" applyBorder="1" applyAlignment="1">
      <x:alignment horizontal="left" vertical="top" wrapText="1"/>
    </x:xf>
    <x:xf numFmtId="0" fontId="22" fillId="17" borderId="0" xfId="0" applyNumberFormat="1" applyFont="1" applyFill="1" applyBorder="1" applyAlignment="1">
      <x:alignment horizontal="left" vertical="center" wrapText="1"/>
    </x:xf>
    <x:xf numFmtId="0" fontId="23" fillId="16" borderId="0" xfId="0" applyNumberFormat="1" applyFont="1" applyFill="1" applyBorder="1" applyAlignment="1">
      <x:alignment horizontal="left" vertical="top" wrapText="1"/>
    </x:xf>
    <x:xf numFmtId="0" fontId="23" fillId="16" borderId="0" xfId="0" applyNumberFormat="1" applyFont="1" applyFill="1" applyBorder="1" applyAlignment="1">
      <x:alignment horizontal="left" vertical="center" wrapText="1"/>
    </x:xf>
    <x:xf numFmtId="0" fontId="19" fillId="17" borderId="0" xfId="0" applyNumberFormat="1" applyFont="1" applyFill="1" applyBorder="1" applyAlignment="1">
      <x:alignment horizontal="left" vertical="top" wrapText="1"/>
    </x:xf>
    <x:xf numFmtId="0" fontId="19" fillId="17" borderId="0" xfId="0" applyNumberFormat="1" applyFont="1" applyFill="1" applyBorder="1" applyAlignment="1">
      <x:alignment horizontal="left" vertical="center" wrapText="1"/>
    </x:xf>
    <x:xf numFmtId="0" fontId="24" fillId="15" borderId="0" xfId="0" applyNumberFormat="1" applyFont="1" applyFill="1" applyBorder="1" applyAlignment="1">
      <x:alignment horizontal="left" vertical="top" wrapText="1"/>
    </x:xf>
    <x:xf numFmtId="0" fontId="24" fillId="15" borderId="0" xfId="0" applyNumberFormat="1" applyFont="1" applyFill="1" applyBorder="1" applyAlignment="1">
      <x:alignment horizontal="left" vertical="center" wrapText="1"/>
    </x:xf>
    <x:xf numFmtId="0" fontId="16" fillId="16" borderId="0" xfId="0" applyNumberFormat="1" applyFont="1" applyFill="1" applyBorder="1" applyAlignment="1">
      <x:alignment horizontal="left" vertical="top" wrapText="1"/>
    </x:xf>
    <x:xf numFmtId="0" fontId="24" fillId="17" borderId="0" xfId="0" applyNumberFormat="1" applyFont="1" applyFill="1" applyBorder="1" applyAlignment="1">
      <x:alignment horizontal="left" vertical="top" wrapText="1"/>
    </x:xf>
    <x:xf numFmtId="0" fontId="24" fillId="17" borderId="0" xfId="0" applyNumberFormat="1" applyFont="1" applyFill="1" applyBorder="1" applyAlignment="1">
      <x:alignment horizontal="left" vertical="center" wrapText="1"/>
    </x:xf>
    <x:xf numFmtId="0" fontId="2" fillId="5" borderId="0" xfId="0" applyNumberFormat="1" applyFont="1" applyFill="1" applyBorder="1" applyAlignment="1">
      <x:alignment vertical="top" wrapText="1"/>
    </x:xf>
    <x:xf numFmtId="200" fontId="1" fillId="5" borderId="0" xfId="0" applyNumberFormat="1" applyFont="1" applyFill="1" applyBorder="1" applyAlignment="1">
      <x:alignment vertical="top" wrapText="1"/>
    </x:xf>
    <x:xf numFmtId="0" fontId="0" fillId="5" borderId="0" xfId="0" applyNumberFormat="1" applyFont="1" applyFill="1" applyBorder="1" applyAlignment="1">
      <x:alignment wrapText="1"/>
    </x:xf>
    <x:xf numFmtId="200" fontId="0" fillId="5" borderId="0" xfId="0" applyNumberFormat="1" applyFont="1" applyFill="1" applyBorder="1" applyAlignment="1">
      <x:alignment wrapText="1"/>
    </x:xf>
    <x:xf numFmtId="0" fontId="0" fillId="5" borderId="0" xfId="0" applyNumberFormat="1" applyFont="1" applyFill="1" applyBorder="1"/>
    <x:xf numFmtId="0" fontId="13" fillId="5" borderId="0" xfId="0" applyNumberFormat="1" applyFont="1" applyFill="1" applyBorder="1" applyAlignment="1">
      <x:alignment vertical="top" wrapText="1"/>
    </x:xf>
    <x:xf numFmtId="0" fontId="14" fillId="5" borderId="0" xfId="0" applyNumberFormat="1" applyFont="1" applyFill="1" applyBorder="1" applyAlignment="1">
      <x:alignment vertical="top" wrapText="1"/>
    </x:xf>
    <x:xf numFmtId="200" fontId="14" fillId="5" borderId="0" xfId="0" applyNumberFormat="1" applyFont="1" applyFill="1" applyBorder="1" applyAlignment="1">
      <x:alignment vertical="top" wrapText="1"/>
    </x:xf>
    <x:xf numFmtId="0" fontId="14" fillId="5" borderId="0" xfId="0" applyNumberFormat="1" applyFont="1" applyFill="1" applyBorder="1" applyAlignment="1">
      <x:alignment wrapText="1"/>
    </x:xf>
    <x:xf numFmtId="200" fontId="14" fillId="5" borderId="0" xfId="0" applyNumberFormat="1" applyFont="1" applyFill="1" applyBorder="1" applyAlignment="1">
      <x:alignment wrapText="1"/>
    </x:xf>
    <x:xf numFmtId="0" fontId="14" fillId="5" borderId="0" xfId="0" applyNumberFormat="1" applyFont="1" applyFill="1" applyBorder="1"/>
    <x:xf numFmtId="0" fontId="13" fillId="5" borderId="0" xfId="0" applyNumberFormat="1" applyFont="1" applyFill="1" applyBorder="1" applyAlignment="1">
      <x:alignment horizontal="left" vertical="top" wrapText="1"/>
    </x:xf>
    <x:xf numFmtId="0" fontId="14" fillId="5" borderId="0" xfId="0" applyNumberFormat="1" applyFont="1" applyFill="1" applyBorder="1" applyAlignment="1">
      <x:alignment horizontal="left" vertical="top" wrapText="1"/>
    </x:xf>
    <x:xf numFmtId="200" fontId="14" fillId="5" borderId="0" xfId="0" applyNumberFormat="1" applyFont="1" applyFill="1" applyBorder="1" applyAlignment="1">
      <x:alignment horizontal="left" vertical="top" wrapText="1"/>
    </x:xf>
    <x:xf numFmtId="0" fontId="14" fillId="5" borderId="0" xfId="0" applyNumberFormat="1" applyFont="1" applyFill="1" applyBorder="1" applyAlignment="1">
      <x:alignment horizontal="left" wrapText="1"/>
    </x:xf>
    <x:xf numFmtId="200" fontId="14" fillId="5" borderId="0" xfId="0" applyNumberFormat="1" applyFont="1" applyFill="1" applyBorder="1" applyAlignment="1">
      <x:alignment horizontal="left" wrapText="1"/>
    </x:xf>
    <x:xf numFmtId="0" fontId="18" fillId="5" borderId="0" xfId="0" applyNumberFormat="1" applyFont="1" applyFill="1" applyBorder="1" applyAlignment="1">
      <x:alignment horizontal="left" vertical="top" wrapText="1"/>
    </x:xf>
    <x:xf numFmtId="0" fontId="5" fillId="5" borderId="0" xfId="0" applyNumberFormat="1" applyFont="1" applyFill="1" applyBorder="1"/>
    <x:xf numFmtId="0" fontId="4" fillId="5" borderId="0" xfId="0" applyNumberFormat="1" applyFont="1" applyFill="1" applyBorder="1" applyAlignment="1">
      <x:alignment vertical="center" wrapText="1"/>
    </x:xf>
    <x:xf numFmtId="0" fontId="4" fillId="5" borderId="0" xfId="0" applyNumberFormat="1" applyFont="1" applyFill="1" applyBorder="1"/>
    <x:xf numFmtId="0" fontId="6" fillId="5" borderId="0" xfId="0" applyNumberFormat="1" applyFont="1" applyFill="1" applyBorder="1" applyAlignment="1">
      <x:alignment vertical="center" wrapText="1"/>
    </x:xf>
    <x:xf numFmtId="0" fontId="4" fillId="5" borderId="0" xfId="0" applyNumberFormat="1" applyFont="1" applyFill="1" applyBorder="1" applyAlignment="1">
      <x:alignment vertical="top" wrapText="1"/>
    </x:xf>
    <x:xf numFmtId="0" fontId="13" fillId="5" borderId="0" xfId="0" applyNumberFormat="1" applyFont="1" applyFill="1" applyBorder="1"/>
    <x:xf numFmtId="0" fontId="14" fillId="5" borderId="0" xfId="0" applyNumberFormat="1" applyFont="1" applyFill="1" applyBorder="1" applyAlignment="1">
      <x:alignment vertical="center" wrapText="1"/>
    </x:xf>
    <x:xf numFmtId="0" fontId="13" fillId="5" borderId="0" xfId="0" applyNumberFormat="1" applyFont="1" applyFill="1" applyBorder="1" applyAlignment="1">
      <x:alignment vertical="center" wrapText="1"/>
    </x:xf>
    <x:xf numFmtId="0" fontId="13" fillId="5" borderId="0" xfId="0" applyNumberFormat="1" applyFont="1" applyFill="1" applyBorder="1" applyAlignment="1">
      <x:alignment wrapText="1"/>
    </x:xf>
    <x:xf numFmtId="0" fontId="13" fillId="5" borderId="0" xfId="0" applyNumberFormat="1" applyFont="1" applyFill="1" applyBorder="1" applyAlignment="1">
      <x:alignment horizontal="left" wrapText="1"/>
    </x:xf>
    <x:xf numFmtId="0" fontId="14" fillId="5" borderId="0" xfId="0" applyNumberFormat="1" applyFont="1" applyFill="1" applyBorder="1" applyAlignment="1">
      <x:alignment horizontal="left" vertical="center" wrapText="1"/>
    </x:xf>
    <x:xf numFmtId="0" fontId="13" fillId="5" borderId="0" xfId="0" applyNumberFormat="1" applyFont="1" applyFill="1" applyBorder="1" applyAlignment="1">
      <x:alignment horizontal="left" vertical="center" wrapText="1"/>
    </x:xf>
    <x:xf numFmtId="0" fontId="9" fillId="5" borderId="0" xfId="0" applyNumberFormat="1" applyFont="1" applyFill="1" applyBorder="1" applyAlignment="1">
      <x:alignment vertical="center"/>
    </x:xf>
    <x:xf numFmtId="0" fontId="10" fillId="5" borderId="0" xfId="0" applyNumberFormat="1" applyFont="1" applyFill="1" applyBorder="1" applyAlignment="1">
      <x:alignment vertical="center" wrapText="1"/>
    </x:xf>
    <x:xf numFmtId="0" fontId="2" fillId="5" borderId="0" xfId="0" applyNumberFormat="1" applyFont="1" applyFill="1" applyBorder="1" applyAlignment="1">
      <x:alignment vertical="center" wrapText="1"/>
    </x:xf>
    <x:xf numFmtId="0" fontId="11" fillId="5" borderId="0" xfId="0" applyNumberFormat="1" applyFont="1" applyFill="1" applyBorder="1" applyAlignment="1">
      <x:alignment vertical="top" wrapText="1"/>
    </x:xf>
    <x:xf numFmtId="0" fontId="13" fillId="5" borderId="0" xfId="0" applyNumberFormat="1" applyFont="1" applyFill="1" applyBorder="1" applyAlignment="1">
      <x:alignment vertical="center"/>
    </x:xf>
    <x:xf numFmtId="201" fontId="11" fillId="5" borderId="0" xfId="0" applyNumberFormat="1" applyFont="1" applyFill="1" applyBorder="1" applyAlignment="1">
      <x:alignment vertical="top" wrapText="1"/>
    </x:xf>
    <x:xf numFmtId="201" fontId="14" fillId="5" borderId="0" xfId="0" applyNumberFormat="1" applyFont="1" applyFill="1" applyBorder="1" applyAlignment="1">
      <x:alignment vertical="top" wrapText="1"/>
    </x:xf>
    <x:xf numFmtId="201" fontId="14" fillId="5" borderId="0" xfId="0" applyNumberFormat="1" applyFont="1" applyFill="1" applyBorder="1" applyAlignment="1">
      <x:alignment horizontal="left" vertical="top" wrapText="1"/>
    </x:xf>
    <x:xf numFmtId="0" fontId="3" fillId="5" borderId="0" xfId="0" applyNumberFormat="1" applyFont="1" applyFill="1" applyBorder="1" applyAlignment="1">
      <x:alignment vertical="top" wrapText="1"/>
    </x:xf>
    <x:xf numFmtId="0" fontId="7" fillId="5" borderId="0" xfId="0" applyNumberFormat="1" applyFont="1" applyFill="1" applyBorder="1" applyAlignment="1">
      <x:alignment wrapText="1"/>
    </x:xf>
    <x:xf numFmtId="0" fontId="11" fillId="5" borderId="0" xfId="0" applyNumberFormat="1" applyFont="1" applyFill="1" applyBorder="1" applyAlignment="1">
      <x:alignment vertical="center" wrapText="1"/>
    </x:xf>
    <x:xf numFmtId="0" fontId="12" fillId="5" borderId="0" xfId="0" applyNumberFormat="1" applyFont="1" applyFill="1" applyBorder="1" applyAlignment="1">
      <x:alignment vertical="center" wrapText="1"/>
    </x:xf>
    <x:xf numFmtId="0" fontId="12" fillId="5" borderId="0" xfId="0" applyNumberFormat="1" applyFont="1" applyFill="1" applyBorder="1"/>
    <x:xf numFmtId="0" fontId="0" fillId="5" borderId="0" xfId="0" applyNumberFormat="1" applyFont="1" applyFill="1" applyBorder="1" applyAlignment="1">
      <x:alignment vertical="top" wrapText="1"/>
    </x:xf>
    <x:xf numFmtId="0" fontId="19" fillId="5" borderId="0" xfId="0" applyNumberFormat="1" applyFont="1" applyFill="1" applyBorder="1" applyAlignment="1">
      <x:alignment vertical="top" wrapText="1"/>
    </x:xf>
    <x:xf numFmtId="0" fontId="16" fillId="5" borderId="0" xfId="0" applyNumberFormat="1" applyFont="1" applyFill="1" applyBorder="1" applyAlignment="1">
      <x:alignment vertical="top" wrapText="1"/>
    </x:xf>
    <x:xf numFmtId="0" fontId="19" fillId="5" borderId="0" xfId="0" applyNumberFormat="1" applyFont="1" applyFill="1" applyBorder="1" applyAlignment="1">
      <x:alignment wrapText="1"/>
    </x:xf>
    <x:xf numFmtId="0" fontId="16" fillId="5" borderId="0" xfId="0" applyNumberFormat="1" applyFont="1" applyFill="1" applyBorder="1" applyAlignment="1">
      <x:alignment wrapText="1"/>
    </x:xf>
    <x:xf numFmtId="0" fontId="16" fillId="5" borderId="0" xfId="0" applyNumberFormat="1" applyFont="1" applyFill="1" applyBorder="1"/>
    <x:xf numFmtId="0" fontId="16" fillId="5" borderId="0" xfId="0" applyNumberFormat="1" applyFont="1" applyFill="1" applyBorder="1" applyAlignment="1">
      <x:alignment vertical="center" wrapText="1"/>
    </x:xf>
    <x:xf numFmtId="0" fontId="19" fillId="5" borderId="0" xfId="0" applyNumberFormat="1" applyFont="1" applyFill="1" applyBorder="1" applyAlignment="1">
      <x:alignment vertical="center" wrapText="1"/>
    </x:xf>
    <x:xf numFmtId="0" fontId="19" fillId="5" borderId="0" xfId="0" applyNumberFormat="1" applyFont="1" applyFill="1" applyBorder="1"/>
    <x:xf numFmtId="0" fontId="19" fillId="5" borderId="0" xfId="0" applyNumberFormat="1" applyFont="1" applyFill="1" applyBorder="1" applyAlignment="1">
      <x:alignment horizontal="left" vertical="top" wrapText="1"/>
    </x:xf>
    <x:xf numFmtId="0" fontId="16" fillId="5" borderId="0" xfId="0" applyNumberFormat="1" applyFont="1" applyFill="1" applyBorder="1" applyAlignment="1">
      <x:alignment horizontal="left" vertical="top" wrapText="1"/>
    </x:xf>
    <x:xf numFmtId="0" fontId="19" fillId="5" borderId="0" xfId="0" applyNumberFormat="1" applyFont="1" applyFill="1" applyBorder="1" applyAlignment="1">
      <x:alignment horizontal="left" wrapText="1"/>
    </x:xf>
    <x:xf numFmtId="0" fontId="16" fillId="5" borderId="0" xfId="0" applyNumberFormat="1" applyFont="1" applyFill="1" applyBorder="1" applyAlignment="1">
      <x:alignment horizontal="left" wrapText="1"/>
    </x:xf>
    <x:xf numFmtId="0" fontId="16" fillId="5" borderId="0" xfId="0" applyNumberFormat="1" applyFont="1" applyFill="1" applyBorder="1" applyAlignment="1">
      <x:alignment horizontal="left" vertical="center" wrapText="1"/>
    </x:xf>
    <x:xf numFmtId="0" fontId="19" fillId="5" borderId="0" xfId="0" applyNumberFormat="1" applyFont="1" applyFill="1" applyBorder="1" applyAlignment="1">
      <x:alignment horizontal="left" vertical="center" wrapText="1"/>
    </x:xf>
    <x:xf numFmtId="0" fontId="25" fillId="0" borderId="0" xfId="0" applyNumberFormat="1" applyFont="1" applyFill="1" applyBorder="1"/>
    <x:xf numFmtId="0" fontId="25" fillId="0" borderId="0" xfId="0" applyNumberFormat="1" applyFont="1" applyFill="1" applyBorder="1" applyAlignment="1">
      <x:alignment wrapText="1"/>
    </x:xf>
    <x:xf numFmtId="0" fontId="25" fillId="0" borderId="0" xfId="0" applyNumberFormat="1" applyFont="1" applyFill="1" applyBorder="1" applyAlignment="1">
      <x:alignment vertical="top" wrapText="1"/>
    </x:xf>
    <x:xf numFmtId="0" fontId="26" fillId="0" borderId="0" xfId="0" applyNumberFormat="1" applyFont="1" applyFill="1" applyBorder="1"/>
    <x:xf numFmtId="0" fontId="27" fillId="0" borderId="0" xfId="0" applyNumberFormat="1" applyFont="1" applyFill="1" applyBorder="1"/>
    <x:xf numFmtId="0" fontId="27" fillId="0" borderId="0" xfId="0" applyNumberFormat="1" applyFont="1" applyFill="1" applyBorder="1" applyAlignment="1">
      <x:alignment wrapText="1"/>
    </x:xf>
    <x:xf numFmtId="0" fontId="27" fillId="20" borderId="0" xfId="0" applyNumberFormat="1" applyFont="1" applyFill="1" applyBorder="1" applyAlignment="1">
      <x:alignment wrapText="1"/>
    </x:xf>
    <x:xf numFmtId="0" fontId="28" fillId="20" borderId="0" xfId="0" applyNumberFormat="1" applyFont="1" applyFill="1" applyBorder="1" applyAlignment="1">
      <x:alignment wrapText="1"/>
    </x:xf>
    <x:xf numFmtId="0" fontId="27" fillId="21" borderId="0" xfId="0" applyNumberFormat="1" applyFont="1" applyFill="1" applyBorder="1" applyAlignment="1">
      <x:alignment wrapText="1"/>
    </x:xf>
    <x:xf numFmtId="0" fontId="29" fillId="21" borderId="0" xfId="0" applyNumberFormat="1" applyFont="1" applyFill="1" applyBorder="1" applyAlignment="1">
      <x:alignment wrapText="1"/>
    </x:xf>
    <x:xf numFmtId="0" fontId="29" fillId="21" borderId="0" xfId="0" applyNumberFormat="1" applyFont="1" applyFill="1" applyBorder="1" applyAlignment="1">
      <x:alignment vertical="center" wrapText="1"/>
    </x:xf>
    <x:xf numFmtId="0" fontId="27" fillId="22" borderId="0" xfId="0" applyNumberFormat="1" applyFont="1" applyFill="1" applyBorder="1" applyAlignment="1">
      <x:alignment wrapText="1"/>
    </x:xf>
    <x:xf numFmtId="0" fontId="17" fillId="22" borderId="0" xfId="0" applyNumberFormat="1" applyFont="1" applyFill="1" applyBorder="1" applyAlignment="1">
      <x:alignment wrapText="1"/>
    </x:xf>
    <x:xf numFmtId="0" fontId="27" fillId="0" borderId="0" xfId="0" applyNumberFormat="1" applyFont="1" applyFill="1" applyBorder="1" applyAlignment="1">
      <x:alignment vertical="top" wrapText="1"/>
    </x:xf>
    <x:xf numFmtId="0" fontId="27" fillId="9" borderId="0" xfId="0" applyNumberFormat="1" applyFont="1" applyFill="1" applyBorder="1" applyAlignment="1">
      <x:alignment wrapText="1"/>
    </x:xf>
    <x:xf numFmtId="0" fontId="17" fillId="9" borderId="0" xfId="0" applyNumberFormat="1" applyFont="1" applyFill="1" applyBorder="1" applyAlignment="1">
      <x:alignment wrapText="1"/>
    </x:xf>
    <x:xf numFmtId="0" fontId="30" fillId="0" borderId="0" xfId="0" applyNumberFormat="1" applyFont="1" applyFill="1" applyBorder="1"/>
    <x:xf numFmtId="0" fontId="30" fillId="0" borderId="0" xfId="0" applyNumberFormat="1" applyFont="1" applyFill="1" applyBorder="1" applyAlignment="1">
      <x:alignment wrapText="1"/>
    </x:xf>
    <x:xf numFmtId="0" fontId="30" fillId="0" borderId="0" xfId="0" applyNumberFormat="1" applyFont="1" applyFill="1" applyBorder="1" applyAlignment="1">
      <x:alignment vertical="top" wrapText="1"/>
    </x:xf>
    <x:xf numFmtId="0" fontId="30" fillId="23" borderId="0" xfId="0" applyNumberFormat="1" applyFont="1" applyFill="1" applyBorder="1" applyAlignment="1">
      <x:alignment vertical="top" wrapText="1"/>
    </x:xf>
    <x:xf numFmtId="0" fontId="14" fillId="17" borderId="0" xfId="0" applyNumberFormat="1" applyFont="1" applyFill="1" applyBorder="1" applyAlignment="1">
      <x:alignment horizontal="left" vertical="center" wrapText="1"/>
    </x:xf>
    <x:xf numFmtId="0" fontId="30" fillId="24" borderId="0" xfId="0" applyNumberFormat="1" applyFont="1" applyFill="1" applyBorder="1" applyAlignment="1">
      <x:alignment vertical="top" wrapText="1"/>
    </x:xf>
    <x:xf numFmtId="0" fontId="5" fillId="24" borderId="0" xfId="0" applyNumberFormat="1" applyFont="1" applyFill="1" applyBorder="1" applyAlignment="1">
      <x:alignment vertical="top" wrapText="1"/>
    </x:xf>
    <x:xf numFmtId="0" fontId="31" fillId="23" borderId="0" xfId="0" applyNumberFormat="1" applyFont="1" applyFill="1" applyBorder="1" applyAlignment="1">
      <x:alignment vertical="top" wrapText="1"/>
    </x:xf>
    <x:xf numFmtId="0" fontId="30" fillId="25" borderId="0"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20" fillId="26" borderId="0" xfId="0" applyNumberFormat="1" applyFont="1" applyFill="1" applyBorder="1" applyAlignment="1">
      <x:alignment horizontal="left" vertical="center" wrapText="1"/>
    </x:xf>
    <x:xf numFmtId="0" fontId="21" fillId="26" borderId="0" xfId="0" applyNumberFormat="1" applyFont="1" applyFill="1" applyBorder="1" applyAlignment="1">
      <x:alignment horizontal="left" vertical="center" wrapText="1"/>
    </x:xf>
    <x:xf numFmtId="0" fontId="16" fillId="26" borderId="0" xfId="0" applyNumberFormat="1" applyFont="1" applyFill="1" applyBorder="1" applyAlignment="1">
      <x:alignment horizontal="left" vertical="top" wrapText="1"/>
    </x:xf>
    <x:xf numFmtId="0" fontId="17" fillId="26" borderId="0" xfId="0" applyNumberFormat="1" applyFont="1" applyFill="1" applyBorder="1" applyAlignment="1">
      <x:alignment horizontal="left" vertical="center" wrapText="1"/>
    </x:xf>
    <x:xf numFmtId="0" fontId="22" fillId="26" borderId="0" xfId="0" applyNumberFormat="1" applyFont="1" applyFill="1" applyBorder="1" applyAlignment="1">
      <x:alignment horizontal="left" vertical="center" wrapText="1"/>
    </x:xf>
    <x:xf numFmtId="0" fontId="19" fillId="26" borderId="0" xfId="0" applyNumberFormat="1" applyFont="1" applyFill="1" applyBorder="1" applyAlignment="1">
      <x:alignment horizontal="left" vertical="top" wrapText="1"/>
    </x:xf>
    <x:xf numFmtId="0" fontId="23" fillId="26" borderId="0" xfId="0" applyNumberFormat="1" applyFont="1" applyFill="1" applyBorder="1" applyAlignment="1">
      <x:alignment horizontal="left" vertical="center" wrapText="1"/>
    </x:xf>
    <x:xf numFmtId="0" fontId="19" fillId="26" borderId="0" xfId="0" applyNumberFormat="1" applyFont="1" applyFill="1" applyBorder="1" applyAlignment="1">
      <x:alignment horizontal="left" vertical="center" wrapText="1"/>
    </x:xf>
    <x:xf numFmtId="0" fontId="16" fillId="26" borderId="0" xfId="0" applyNumberFormat="1" applyFont="1" applyFill="1" applyBorder="1" applyAlignment="1">
      <x:alignment horizontal="left" vertical="center" wrapText="1"/>
    </x:xf>
    <x:xf numFmtId="0" fontId="32" fillId="26" borderId="0" xfId="0" applyNumberFormat="1" applyFont="1" applyFill="1" applyBorder="1" applyAlignment="1">
      <x:alignment horizontal="left" vertical="center" wrapText="1"/>
    </x:xf>
    <x:xf numFmtId="0" fontId="33" fillId="26" borderId="0" xfId="0" applyNumberFormat="1" applyFont="1" applyFill="1" applyBorder="1" applyAlignment="1">
      <x:alignment horizontal="left" vertical="center" wrapText="1"/>
    </x:xf>
    <x:xf numFmtId="0" fontId="33" fillId="26" borderId="0" xfId="0" applyNumberFormat="1" applyFont="1" applyFill="1" applyBorder="1" applyAlignment="1">
      <x:alignment horizontal="left" vertical="top" wrapText="1"/>
    </x:xf>
    <x:xf numFmtId="0" fontId="32" fillId="26" borderId="0" xfId="0" applyNumberFormat="1" applyFont="1" applyFill="1" applyBorder="1" applyAlignment="1">
      <x:alignment horizontal="left" vertical="top" wrapText="1"/>
    </x:xf>
    <x:xf numFmtId="0" fontId="32" fillId="24" borderId="0" xfId="0" applyNumberFormat="1" applyFont="1" applyFill="1" applyBorder="1" applyAlignment="1">
      <x:alignment horizontal="left" vertical="center" wrapText="1"/>
    </x:xf>
    <x:xf numFmtId="0" fontId="34" fillId="24" borderId="0" xfId="0" applyNumberFormat="1" applyFont="1" applyFill="1" applyBorder="1" applyAlignment="1">
      <x:alignment horizontal="left" vertical="center" wrapText="1"/>
    </x:xf>
    <x:xf numFmtId="0" fontId="33" fillId="23" borderId="0" xfId="0" applyNumberFormat="1" applyFont="1" applyFill="1" applyBorder="1" applyAlignment="1">
      <x:alignment horizontal="left" vertical="center" wrapText="1"/>
    </x:xf>
    <x:xf numFmtId="0" fontId="31" fillId="23" borderId="0" xfId="0" applyNumberFormat="1" applyFont="1" applyFill="1" applyBorder="1" applyAlignment="1">
      <x:alignment horizontal="left" vertical="center" wrapText="1"/>
    </x:xf>
    <x:xf numFmtId="0" fontId="32" fillId="25" borderId="0" xfId="0" applyNumberFormat="1" applyFont="1" applyFill="1" applyBorder="1" applyAlignment="1">
      <x:alignment horizontal="left" vertical="center" wrapText="1"/>
    </x:xf>
    <x:xf numFmtId="0" fontId="17" fillId="25" borderId="0" xfId="0" applyNumberFormat="1" applyFont="1" applyFill="1" applyBorder="1" applyAlignment="1">
      <x:alignment horizontal="left" vertical="center" wrapText="1"/>
    </x:xf>
    <x:xf numFmtId="0" fontId="32" fillId="23" borderId="0" xfId="0" applyNumberFormat="1" applyFont="1" applyFill="1" applyBorder="1" applyAlignment="1">
      <x:alignment horizontal="left" vertical="center" wrapText="1"/>
    </x:xf>
    <x:xf numFmtId="0" fontId="35" fillId="23" borderId="0" xfId="0" applyNumberFormat="1" applyFont="1" applyFill="1" applyBorder="1" applyAlignment="1">
      <x:alignment horizontal="left" vertical="center" wrapText="1"/>
    </x:xf>
    <x:xf numFmtId="0" fontId="35" fillId="23" borderId="0" xfId="0" applyNumberFormat="1" applyFont="1" applyFill="1" applyBorder="1" applyAlignment="1">
      <x:alignment horizontal="center" vertical="center" wrapText="1"/>
    </x:xf>
    <x:xf numFmtId="0" fontId="6" fillId="24" borderId="0" xfId="0" applyNumberFormat="1" applyFont="1" applyFill="1" applyBorder="1" applyAlignment="1">
      <x:alignment horizontal="left" vertical="center" wrapText="1"/>
    </x:xf>
    <x:xf numFmtId="0" fontId="33" fillId="24" borderId="0" xfId="0" applyNumberFormat="1" applyFont="1" applyFill="1" applyBorder="1" applyAlignment="1">
      <x:alignment horizontal="left" vertical="center" wrapText="1"/>
    </x:xf>
    <x:xf numFmtId="0" fontId="32" fillId="27" borderId="0" xfId="0" applyNumberFormat="1" applyFont="1" applyFill="1" applyBorder="1" applyAlignment="1">
      <x:alignment horizontal="left" vertical="center" wrapText="1"/>
    </x:xf>
    <x:xf numFmtId="0" fontId="36" fillId="27" borderId="0" xfId="0" applyNumberFormat="1" applyFont="1" applyFill="1" applyBorder="1" applyAlignment="1">
      <x:alignment horizontal="left" vertical="center" wrapText="1"/>
    </x:xf>
    <x:xf numFmtId="0" fontId="33" fillId="27" borderId="0" xfId="0" applyNumberFormat="1" applyFont="1" applyFill="1" applyBorder="1" applyAlignment="1">
      <x:alignment horizontal="left" vertical="center" wrapText="1"/>
    </x:xf>
    <x:xf numFmtId="0" fontId="20" fillId="5" borderId="0" xfId="0" applyNumberFormat="1" applyFont="1" applyFill="1" applyBorder="1" applyAlignment="1">
      <x:alignment horizontal="left" vertical="center" wrapText="1"/>
    </x:xf>
    <x:xf numFmtId="0" fontId="21" fillId="5" borderId="0" xfId="0" applyNumberFormat="1" applyFont="1" applyFill="1" applyBorder="1" applyAlignment="1">
      <x:alignment horizontal="left" vertical="center" wrapText="1"/>
    </x:xf>
    <x:xf numFmtId="0" fontId="17" fillId="5" borderId="0" xfId="0" applyNumberFormat="1" applyFont="1" applyFill="1" applyBorder="1" applyAlignment="1">
      <x:alignment horizontal="left" vertical="center" wrapText="1"/>
    </x:xf>
    <x:xf numFmtId="0" fontId="22" fillId="5" borderId="0" xfId="0" applyNumberFormat="1" applyFont="1" applyFill="1" applyBorder="1" applyAlignment="1">
      <x:alignment horizontal="left" vertical="center" wrapText="1"/>
    </x:xf>
    <x:xf numFmtId="0" fontId="23" fillId="5" borderId="0" xfId="0" applyNumberFormat="1" applyFont="1" applyFill="1" applyBorder="1" applyAlignment="1">
      <x:alignment horizontal="left" vertical="center" wrapText="1"/>
    </x:xf>
    <x:xf numFmtId="0" fontId="32" fillId="5" borderId="0" xfId="0" applyNumberFormat="1" applyFont="1" applyFill="1" applyBorder="1" applyAlignment="1">
      <x:alignment horizontal="left" vertical="center" wrapText="1"/>
    </x:xf>
    <x:xf numFmtId="0" fontId="33" fillId="5" borderId="0" xfId="0" applyNumberFormat="1" applyFont="1" applyFill="1" applyBorder="1" applyAlignment="1">
      <x:alignment horizontal="left" vertical="center" wrapText="1"/>
    </x:xf>
    <x:xf numFmtId="0" fontId="33" fillId="5" borderId="0" xfId="0" applyNumberFormat="1" applyFont="1" applyFill="1" applyBorder="1" applyAlignment="1">
      <x:alignment horizontal="left" vertical="top" wrapText="1"/>
    </x:xf>
    <x:xf numFmtId="0" fontId="32" fillId="5" borderId="0" xfId="0" applyNumberFormat="1" applyFont="1" applyFill="1" applyBorder="1" applyAlignment="1">
      <x:alignment horizontal="left" vertical="top" wrapText="1"/>
    </x:xf>
    <x:xf numFmtId="0" fontId="0" fillId="28" borderId="0" xfId="0" applyNumberFormat="1" applyFont="1" applyFill="1" applyBorder="1" applyAlignment="1">
      <x:alignment vertical="top" wrapText="1"/>
    </x:xf>
    <x:xf numFmtId="0" fontId="37" fillId="28" borderId="0" xfId="0" applyNumberFormat="1" applyFont="1" applyFill="1" applyBorder="1" applyAlignment="1">
      <x:alignment vertical="top" wrapText="1"/>
    </x:xf>
    <x:xf numFmtId="0" fontId="0" fillId="29" borderId="0" xfId="0" applyNumberFormat="1" applyFont="1" applyFill="1" applyBorder="1"/>
    <x:xf numFmtId="0" fontId="2" fillId="29" borderId="0" xfId="0" applyNumberFormat="1" applyFont="1" applyFill="1" applyBorder="1"/>
    <x:xf numFmtId="0" fontId="2" fillId="29" borderId="0" xfId="0" applyNumberFormat="1" applyFont="1" applyFill="1" applyBorder="1" applyAlignment="1">
      <x:alignment wrapText="1"/>
    </x:xf>
    <x:xf numFmtId="0" fontId="2" fillId="29" borderId="0" xfId="0" applyNumberFormat="1" applyFont="1" applyFill="1" applyBorder="1" applyAlignment="1">
      <x:alignment vertical="center" wrapText="1"/>
    </x:xf>
    <x:xf numFmtId="0" fontId="0" fillId="30" borderId="0" xfId="0" applyNumberFormat="1" applyFont="1" applyFill="1" applyBorder="1"/>
    <x:xf numFmtId="0" fontId="0" fillId="30" borderId="0" xfId="0" applyNumberFormat="1" applyFont="1" applyFill="1" applyBorder="1" applyAlignment="1">
      <x:alignment wrapText="1"/>
    </x:xf>
    <x:xf numFmtId="0" fontId="0" fillId="30" borderId="0" xfId="0" applyNumberFormat="1" applyFont="1" applyFill="1" applyBorder="1" applyAlignment="1">
      <x:alignment vertical="top" wrapText="1"/>
    </x:xf>
    <x:xf numFmtId="0" fontId="2" fillId="31" borderId="0" xfId="0" applyNumberFormat="1" applyFont="1" applyFill="1" applyBorder="1" applyAlignment="1">
      <x:alignment vertical="center" wrapText="1"/>
    </x:xf>
    <x:xf numFmtId="0" fontId="38" fillId="31" borderId="0" xfId="0" applyNumberFormat="1" applyFont="1" applyFill="1" applyBorder="1" applyAlignment="1">
      <x:alignment vertical="center" wrapText="1"/>
    </x:xf>
    <x:xf numFmtId="0" fontId="39" fillId="30" borderId="0" xfId="0" applyNumberFormat="1" applyFont="1" applyFill="1" applyBorder="1" applyAlignment="1">
      <x:alignment vertical="top" wrapText="1"/>
    </x:xf>
    <x:xf numFmtId="0" fontId="39" fillId="0" borderId="0" xfId="0" applyNumberFormat="1" applyFont="1" applyFill="1" applyBorder="1"/>
    <x:xf numFmtId="0" fontId="39" fillId="0" borderId="0" xfId="0" applyNumberFormat="1" applyFont="1" applyFill="1" applyBorder="1" applyAlignment="1">
      <x:alignment wrapText="1"/>
    </x:xf>
    <x:xf numFmtId="0" fontId="39" fillId="0" borderId="0" xfId="0" applyNumberFormat="1" applyFont="1" applyFill="1" applyBorder="1" applyAlignment="1">
      <x:alignment vertical="top" wrapText="1"/>
    </x:xf>
    <x:xf numFmtId="0" fontId="40" fillId="0" borderId="0" xfId="0" applyNumberFormat="1" applyFont="1" applyFill="1" applyBorder="1"/>
    <x:xf numFmtId="0" fontId="40" fillId="31" borderId="0" xfId="0" applyNumberFormat="1" applyFont="1" applyFill="1" applyBorder="1"/>
    <x:xf numFmtId="0" fontId="41" fillId="31" borderId="0" xfId="0" applyNumberFormat="1" applyFont="1" applyFill="1" applyBorder="1"/>
    <x:xf numFmtId="0" fontId="41" fillId="31" borderId="0" xfId="0" applyNumberFormat="1" applyFont="1" applyFill="1" applyBorder="1" applyAlignment="1">
      <x:alignment wrapText="1"/>
    </x:xf>
    <x:xf numFmtId="0" fontId="41" fillId="31" borderId="0" xfId="0" applyNumberFormat="1" applyFont="1" applyFill="1" applyBorder="1" applyAlignment="1">
      <x:alignment vertical="center" wrapText="1"/>
    </x:xf>
    <x:xf numFmtId="0" fontId="40" fillId="0" borderId="0" xfId="0" applyNumberFormat="1" applyFont="1" applyFill="1" applyBorder="1" applyAlignment="1">
      <x:alignment wrapText="1"/>
    </x:xf>
    <x:xf numFmtId="0" fontId="40" fillId="0" borderId="0" xfId="0" applyNumberFormat="1" applyFont="1" applyFill="1" applyBorder="1" applyAlignment="1">
      <x:alignment vertical="top" wrapText="1"/>
    </x:xf>
    <x:xf numFmtId="0" fontId="42" fillId="17" borderId="0" xfId="0" applyNumberFormat="1" applyFont="1" applyFill="1" applyBorder="1" applyAlignment="1">
      <x:alignment horizontal="left" vertical="center" wrapText="1"/>
    </x:xf>
    <x:xf numFmtId="0" fontId="42" fillId="21" borderId="0" xfId="0" applyNumberFormat="1" applyFont="1" applyFill="1" applyBorder="1" applyAlignment="1">
      <x:alignment vertical="center" wrapText="1"/>
    </x:xf>
    <x:xf numFmtId="0" fontId="42" fillId="23" borderId="0" xfId="0" applyNumberFormat="1" applyFont="1" applyFill="1" applyBorder="1" applyAlignment="1">
      <x:alignment vertical="top" wrapText="1"/>
    </x:xf>
    <x:xf numFmtId="0" fontId="17" fillId="31" borderId="0" xfId="0" applyNumberFormat="1" applyFont="1" applyFill="1" applyBorder="1" applyAlignment="1">
      <x:alignment horizontal="left" vertical="center" wrapText="1"/>
    </x:xf>
    <x:xf numFmtId="0" fontId="43" fillId="19" borderId="0" xfId="0" applyNumberFormat="1" applyFont="1" applyFill="1" applyBorder="1" applyAlignment="1">
      <x:alignment horizontal="left" vertical="top" wrapText="1"/>
    </x:xf>
    <x:xf numFmtId="0" fontId="40" fillId="19" borderId="0" xfId="0" applyNumberFormat="1" applyFont="1" applyFill="1" applyBorder="1" applyAlignment="1">
      <x:alignment horizontal="left" vertical="top" wrapText="1"/>
    </x:xf>
    <x:xf numFmtId="200" fontId="40" fillId="19" borderId="0" xfId="0" applyNumberFormat="1" applyFont="1" applyFill="1" applyBorder="1" applyAlignment="1">
      <x:alignment horizontal="left" vertical="top" wrapText="1"/>
    </x:xf>
    <x:xf numFmtId="0" fontId="43" fillId="5" borderId="0" xfId="0" applyNumberFormat="1" applyFont="1" applyFill="1" applyBorder="1" applyAlignment="1">
      <x:alignment horizontal="left" vertical="top" wrapText="1"/>
    </x:xf>
    <x:xf numFmtId="0" fontId="40" fillId="5" borderId="0" xfId="0" applyNumberFormat="1" applyFont="1" applyFill="1" applyBorder="1" applyAlignment="1">
      <x:alignment horizontal="left" vertical="top" wrapText="1"/>
    </x:xf>
    <x:xf numFmtId="200" fontId="40" fillId="5" borderId="0" xfId="0" applyNumberFormat="1" applyFont="1" applyFill="1" applyBorder="1" applyAlignment="1">
      <x:alignment horizontal="left" vertical="top" wrapText="1"/>
    </x:xf>
    <x:xf numFmtId="0" fontId="40" fillId="23" borderId="0" xfId="0" applyNumberFormat="1" applyFont="1" applyFill="1" applyBorder="1" applyAlignment="1">
      <x:alignment vertical="top" wrapText="1"/>
    </x:xf>
    <x:xf numFmtId="0" fontId="43" fillId="28" borderId="0" xfId="0" applyNumberFormat="1" applyFont="1" applyFill="1" applyBorder="1" applyAlignment="1">
      <x:alignment vertical="top" wrapText="1"/>
    </x:xf>
    <x:xf numFmtId="0" fontId="40" fillId="28" borderId="0" xfId="0" applyNumberFormat="1" applyFont="1" applyFill="1" applyBorder="1" applyAlignment="1">
      <x:alignment vertical="top" wrapText="1"/>
    </x:xf>
    <x:xf numFmtId="0" fontId="34" fillId="31" borderId="0" xfId="0" applyNumberFormat="1" applyFont="1" applyFill="1" applyBorder="1" applyAlignment="1">
      <x:alignment horizontal="left" vertical="center" wrapText="1"/>
    </x:xf>
    <x:xf numFmtId="0" fontId="44" fillId="31" borderId="0" xfId="0" applyNumberFormat="1" applyFont="1" applyFill="1" applyBorder="1" applyAlignment="1">
      <x:alignment horizontal="left" vertical="center" wrapText="1"/>
    </x:xf>
    <x:xf numFmtId="0" fontId="45" fillId="23" borderId="0" xfId="0" applyNumberFormat="1" applyFont="1" applyFill="1" applyBorder="1" applyAlignment="1">
      <x:alignment horizontal="center" vertical="center" wrapText="1"/>
    </x:xf>
    <x:xf numFmtId="0" fontId="36" fillId="32" borderId="0" xfId="0" applyNumberFormat="1" applyFont="1" applyFill="1" applyBorder="1" applyAlignment="1">
      <x:alignment horizontal="left" vertical="center" wrapText="1"/>
    </x:xf>
    <x:xf numFmtId="0" fontId="32" fillId="32" borderId="0" xfId="0" applyNumberFormat="1" applyFont="1" applyFill="1" applyBorder="1" applyAlignment="1">
      <x:alignment horizontal="left" vertical="center" wrapText="1"/>
    </x:xf>
    <x:xf numFmtId="0" fontId="46" fillId="32" borderId="0" xfId="0" applyNumberFormat="1" applyFont="1" applyFill="1" applyBorder="1" applyAlignment="1">
      <x:alignment horizontal="left" vertical="center" wrapText="1"/>
    </x:xf>
    <x:xf numFmtId="0" fontId="33" fillId="32" borderId="0" xfId="0" applyNumberFormat="1" applyFont="1" applyFill="1" applyBorder="1" applyAlignment="1">
      <x:alignment horizontal="left" vertical="center" wrapText="1"/>
    </x:xf>
    <x:xf numFmtId="0" fontId="6" fillId="32" borderId="0" xfId="0" applyNumberFormat="1" applyFont="1" applyFill="1" applyBorder="1" applyAlignment="1">
      <x:alignment horizontal="left" vertical="center" wrapText="1"/>
    </x:xf>
    <x:xf numFmtId="0" fontId="31" fillId="23" borderId="0" xfId="0" applyNumberFormat="1" applyFont="1" applyFill="1" applyBorder="1" applyAlignment="1">
      <x:alignment horizontal="left" vertical="top" wrapText="1"/>
    </x:xf>
    <x:xf numFmtId="0" fontId="17" fillId="25" borderId="0" xfId="0" applyNumberFormat="1" applyFont="1" applyFill="1" applyBorder="1" applyAlignment="1">
      <x:alignment horizontal="left" vertical="top" wrapText="1"/>
    </x:xf>
    <x:xf numFmtId="0" fontId="45" fillId="23" borderId="0" xfId="0" applyNumberFormat="1" applyFont="1" applyFill="1" applyBorder="1" applyAlignment="1">
      <x:alignment horizontal="center" vertical="top" wrapText="1"/>
    </x:xf>
    <x:xf numFmtId="0" fontId="35" fillId="23" borderId="0" xfId="0" applyNumberFormat="1" applyFont="1" applyFill="1" applyBorder="1" applyAlignment="1">
      <x:alignment horizontal="center" vertical="top" wrapText="1"/>
    </x:xf>
    <x:xf numFmtId="0" fontId="6" fillId="24" borderId="0" xfId="0" applyNumberFormat="1" applyFont="1" applyFill="1" applyBorder="1" applyAlignment="1">
      <x:alignment horizontal="left" vertical="top" wrapText="1"/>
    </x:xf>
    <x:xf numFmtId="0" fontId="32" fillId="23" borderId="0" xfId="0" applyNumberFormat="1" applyFont="1" applyFill="1" applyBorder="1" applyAlignment="1">
      <x:alignment horizontal="left" vertical="top" wrapText="1"/>
    </x:xf>
    <x:xf numFmtId="0" fontId="33" fillId="23" borderId="0" xfId="0" applyNumberFormat="1" applyFont="1" applyFill="1" applyBorder="1" applyAlignment="1">
      <x:alignment horizontal="left" vertical="top" wrapText="1"/>
    </x:xf>
    <x:xf numFmtId="0" fontId="36" fillId="27" borderId="0" xfId="0" applyNumberFormat="1" applyFont="1" applyFill="1" applyBorder="1" applyAlignment="1">
      <x:alignment horizontal="left" vertical="top" wrapText="1"/>
    </x:xf>
    <x:xf numFmtId="0" fontId="46" fillId="32" borderId="0" xfId="0" applyNumberFormat="1" applyFont="1" applyFill="1" applyBorder="1" applyAlignment="1">
      <x:alignment horizontal="left" vertical="top" wrapText="1"/>
    </x:xf>
    <x:xf numFmtId="0" fontId="47" fillId="5" borderId="0" xfId="0" applyNumberFormat="1" applyFont="1" applyFill="1" applyBorder="1" applyAlignment="1">
      <x:alignment horizontal="left" vertical="top" wrapText="1"/>
    </x:xf>
    <x:xf numFmtId="0" fontId="47" fillId="24" borderId="0" xfId="0" applyNumberFormat="1" applyFont="1" applyFill="1" applyBorder="1" applyAlignment="1">
      <x:alignment horizontal="left" vertical="top" wrapText="1"/>
    </x:xf>
    <x:xf numFmtId="0" fontId="47" fillId="23" borderId="0" xfId="0" applyNumberFormat="1" applyFont="1" applyFill="1" applyBorder="1" applyAlignment="1">
      <x:alignment horizontal="left" vertical="top" wrapText="1"/>
    </x:xf>
    <x:xf numFmtId="0" fontId="48" fillId="23" borderId="0" xfId="0" applyNumberFormat="1" applyFont="1" applyFill="1" applyBorder="1" applyAlignment="1">
      <x:alignment horizontal="left" vertical="top" wrapText="1"/>
    </x:xf>
    <x:xf numFmtId="0" fontId="48" fillId="5" borderId="0" xfId="0" applyNumberFormat="1" applyFont="1" applyFill="1" applyBorder="1" applyAlignment="1">
      <x:alignment horizontal="left" vertical="top" wrapText="1"/>
    </x:xf>
    <x:xf numFmtId="0" fontId="47" fillId="27" borderId="0" xfId="0" applyNumberFormat="1" applyFont="1" applyFill="1" applyBorder="1" applyAlignment="1">
      <x:alignment horizontal="left" vertical="top" wrapText="1"/>
    </x:xf>
    <x:xf numFmtId="0" fontId="47" fillId="32" borderId="0" xfId="0" applyNumberFormat="1" applyFont="1" applyFill="1" applyBorder="1" applyAlignment="1">
      <x:alignment horizontal="left" vertical="top" wrapText="1"/>
    </x:xf>
    <x:xf numFmtId="0" fontId="47" fillId="33" borderId="0" xfId="0" applyNumberFormat="1" applyFont="1" applyFill="1" applyBorder="1" applyAlignment="1">
      <x:alignment horizontal="left" vertical="top" wrapText="1"/>
    </x:xf>
    <x:xf numFmtId="0" fontId="48" fillId="33" borderId="0" xfId="0" applyNumberFormat="1" applyFont="1" applyFill="1" applyBorder="1" applyAlignment="1">
      <x:alignment horizontal="left" vertical="top" wrapText="1"/>
    </x:xf>
    <x:xf numFmtId="0" fontId="49" fillId="33" borderId="0" xfId="0" applyNumberFormat="1" applyFont="1" applyFill="1" applyBorder="1" applyAlignment="1">
      <x:alignment horizontal="left" vertical="top" wrapText="1"/>
    </x:xf>
    <x:xf numFmtId="0" fontId="49" fillId="27" borderId="0" xfId="0" applyNumberFormat="1" applyFont="1" applyFill="1" applyBorder="1" applyAlignment="1">
      <x:alignment horizontal="left" vertical="top" wrapText="1"/>
    </x:xf>
    <x:xf numFmtId="0" fontId="49" fillId="23" borderId="0" xfId="0" applyNumberFormat="1" applyFont="1" applyFill="1" applyBorder="1" applyAlignment="1">
      <x:alignment horizontal="left" vertical="top" wrapText="1"/>
    </x:xf>
    <x:xf numFmtId="0" fontId="49" fillId="5" borderId="0" xfId="0" applyNumberFormat="1" applyFont="1" applyFill="1" applyBorder="1" applyAlignment="1">
      <x:alignment horizontal="left" vertical="top" wrapText="1"/>
    </x:xf>
    <x:xf numFmtId="0" fontId="49" fillId="34" borderId="0" xfId="0" applyNumberFormat="1" applyFont="1" applyFill="1" applyBorder="1" applyAlignment="1">
      <x:alignment horizontal="left" vertical="top" wrapText="1"/>
    </x:xf>
    <x:xf numFmtId="0" fontId="49" fillId="24" borderId="0" xfId="0" applyNumberFormat="1" applyFont="1" applyFill="1" applyBorder="1" applyAlignment="1">
      <x:alignment horizontal="left" vertical="top" wrapText="1"/>
    </x:xf>
    <x:xf numFmtId="0" fontId="2" fillId="9" borderId="0" xfId="0" applyNumberFormat="1" applyFont="1" applyFill="1" applyBorder="1" applyAlignment="1">
      <x:alignment vertical="center" wrapText="1"/>
    </x:xf>
    <x:xf numFmtId="0" fontId="38" fillId="9" borderId="0" xfId="0" applyNumberFormat="1" applyFont="1" applyFill="1" applyBorder="1" applyAlignment="1">
      <x:alignment vertical="center" wrapText="1"/>
    </x:xf>
    <x:xf numFmtId="0" fontId="40" fillId="9" borderId="0" xfId="0" applyNumberFormat="1" applyFont="1" applyFill="1" applyBorder="1"/>
    <x:xf numFmtId="0" fontId="41" fillId="9" borderId="0" xfId="0" applyNumberFormat="1" applyFont="1" applyFill="1" applyBorder="1"/>
    <x:xf numFmtId="0" fontId="41" fillId="9" borderId="0" xfId="0" applyNumberFormat="1" applyFont="1" applyFill="1" applyBorder="1" applyAlignment="1">
      <x:alignment wrapText="1"/>
    </x:xf>
    <x:xf numFmtId="0" fontId="41" fillId="9" borderId="0" xfId="0" applyNumberFormat="1" applyFont="1" applyFill="1" applyBorder="1" applyAlignment="1">
      <x:alignment vertical="center" wrapText="1"/>
    </x:xf>
    <x:xf numFmtId="0" fontId="17" fillId="9" borderId="0" xfId="0" applyNumberFormat="1" applyFont="1" applyFill="1" applyBorder="1" applyAlignment="1">
      <x:alignment horizontal="left" vertical="center" wrapText="1"/>
    </x:xf>
    <x:xf numFmtId="0" fontId="34" fillId="9" borderId="0" xfId="0" applyNumberFormat="1" applyFont="1" applyFill="1" applyBorder="1" applyAlignment="1">
      <x:alignment horizontal="left" vertical="center" wrapText="1"/>
    </x:xf>
    <x:xf numFmtId="0" fontId="44" fillId="9" borderId="0" xfId="0" applyNumberFormat="1" applyFont="1" applyFill="1" applyBorder="1" applyAlignment="1">
      <x:alignment horizontal="left" vertical="center" wrapText="1"/>
    </x:xf>
    <x:xf numFmtId="0" fontId="0" fillId="35" borderId="0" xfId="0" applyNumberFormat="1" applyFont="1" applyFill="1" applyBorder="1"/>
    <x:xf numFmtId="0" fontId="2" fillId="35" borderId="0" xfId="0" applyNumberFormat="1" applyFont="1" applyFill="1" applyBorder="1"/>
    <x:xf numFmtId="0" fontId="2" fillId="35" borderId="0" xfId="0" applyNumberFormat="1" applyFont="1" applyFill="1" applyBorder="1" applyAlignment="1">
      <x:alignment wrapText="1"/>
    </x:xf>
    <x:xf numFmtId="0" fontId="0" fillId="36" borderId="0" xfId="0" applyNumberFormat="1" applyFont="1" applyFill="1" applyBorder="1"/>
    <x:xf numFmtId="0" fontId="50" fillId="36" borderId="0" xfId="0" applyNumberFormat="1" applyFont="1" applyFill="1" applyBorder="1"/>
    <x:xf numFmtId="0" fontId="0" fillId="37" borderId="0" xfId="0" applyNumberFormat="1" applyFont="1" applyFill="1" applyBorder="1"/>
    <x:xf numFmtId="0" fontId="0" fillId="37" borderId="0" xfId="0" applyNumberFormat="1" applyFont="1" applyFill="1" applyBorder="1" applyAlignment="1">
      <x:alignment wrapText="1"/>
    </x:xf>
    <x:xf numFmtId="0" fontId="51" fillId="0" borderId="0" xfId="0" applyNumberFormat="1" applyFont="1" applyFill="1" applyBorder="1"/>
    <x:xf numFmtId="0" fontId="50" fillId="36" borderId="0" xfId="0" applyNumberFormat="1" applyFont="1" applyFill="1" applyBorder="1" applyAlignment="1">
      <x:alignment vertical="center"/>
    </x:xf>
    <x:xf numFmtId="0" fontId="0" fillId="37" borderId="0"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2" fillId="35" borderId="0" xfId="0" applyNumberFormat="1" applyFont="1" applyFill="1" applyBorder="1" applyAlignment="1">
      <x:alignment vertical="center"/>
    </x:xf>
    <x:xf numFmtId="0" fontId="51" fillId="0"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0" fontId="25" fillId="0" borderId="0" xfId="0" applyNumberFormat="1" applyFont="1" applyFill="1" applyBorder="1" applyAlignment="1">
      <x:alignment vertical="center" wrapText="1"/>
    </x:xf>
    <x:xf numFmtId="0" fontId="0" fillId="37" borderId="0" xfId="0" applyNumberFormat="1" applyFont="1" applyFill="1" applyBorder="1" applyAlignment="1">
      <x:alignment horizontal="left" vertical="center" wrapText="1"/>
    </x:xf>
    <x:xf numFmtId="0" fontId="0" fillId="0" borderId="0" xfId="0" applyNumberFormat="1" applyFont="1" applyFill="1" applyBorder="1" applyAlignment="1">
      <x:alignment horizontal="left" vertical="center" wrapText="1"/>
    </x:xf>
  </x:cellXfs>
  <x:cellStyles count="1">
    <x:cellStyle name="Normal" xfId="0"/>
  </x:cellStyles>
  <x:dxfs count="2">
    <x:dxf>
      <x:fill>
        <x:patternFill>
          <x:bgColor rgb="FFFFF2CC"/>
        </x:patternFill>
      </x:fill>
    </x:dxf>
    <x:dxf>
      <x:fill>
        <x:patternFill>
          <x:bgColor rgb="FFE9E9E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62a04a1cc8445f" /><Relationship Type="http://schemas.openxmlformats.org/officeDocument/2006/relationships/theme" Target="/xl/theme/theme1.xml" Id="R2ad7f79a323847d6" /><Relationship Type="http://schemas.openxmlformats.org/officeDocument/2006/relationships/sharedStrings" Target="/xl/sharedStrings.xml" Id="Redf96edf676e4883" /><Relationship Type="http://schemas.openxmlformats.org/officeDocument/2006/relationships/worksheet" Target="/xl/worksheets/sheet1.xml" Id="R7f73c177ab074344" /><Relationship Type="http://schemas.openxmlformats.org/officeDocument/2006/relationships/worksheet" Target="/xl/worksheets/sheet2.xml" Id="R897a3f23b7bb4184" /><Relationship Type="http://schemas.openxmlformats.org/officeDocument/2006/relationships/worksheet" Target="/xl/worksheets/sheet3.xml" Id="R7e21fcbb459d4e22" /><Relationship Type="http://schemas.openxmlformats.org/officeDocument/2006/relationships/worksheet" Target="/xl/worksheets/sheet4.xml" Id="Rf7d877b4815e49d7" /><Relationship Type="http://schemas.openxmlformats.org/officeDocument/2006/relationships/worksheet" Target="/xl/worksheets/sheet5.xml" Id="R7ab442e03de944d3" /><Relationship Type="http://schemas.openxmlformats.org/officeDocument/2006/relationships/worksheet" Target="/xl/worksheets/sheet6.xml" Id="R3aebaf56f430403d" /><Relationship Type="http://schemas.openxmlformats.org/officeDocument/2006/relationships/worksheet" Target="/xl/worksheets/sheet7.xml" Id="Rb0be5ab86be54d64" /><Relationship Type="http://schemas.openxmlformats.org/officeDocument/2006/relationships/worksheet" Target="/xl/worksheets/sheet8.xml" Id="Rdcc4cab9fbf14414" /><Relationship Type="http://schemas.openxmlformats.org/officeDocument/2006/relationships/worksheet" Target="/xl/worksheets/sheet9.xml" Id="R0d63d688e5384bfb" /><Relationship Type="http://schemas.openxmlformats.org/officeDocument/2006/relationships/worksheet" Target="/xl/worksheets/sheet10.xml" Id="R2457c95a6ee740c5" /><Relationship Type="http://schemas.openxmlformats.org/officeDocument/2006/relationships/worksheet" Target="/xl/worksheets/sheet11.xml" Id="R064ca6f77258493e" /><Relationship Type="http://schemas.openxmlformats.org/officeDocument/2006/relationships/worksheet" Target="/xl/worksheets/sheet12.xml" Id="R1a0e32a3c8084559" /><Relationship Type="http://schemas.openxmlformats.org/officeDocument/2006/relationships/worksheet" Target="/xl/worksheets/sheet13.xml" Id="R3aa971dde8254a00" /><Relationship Type="http://schemas.openxmlformats.org/officeDocument/2006/relationships/worksheet" Target="/xl/worksheets/sheet14.xml" Id="R67446b1448484248" /><Relationship Type="http://schemas.openxmlformats.org/officeDocument/2006/relationships/worksheet" Target="/xl/worksheets/sheet15.xml" Id="R3e97101c300042ff" /><Relationship Type="http://schemas.openxmlformats.org/officeDocument/2006/relationships/worksheet" Target="/xl/worksheets/sheet16.xml" Id="R721683d953724f79" /><Relationship Type="http://schemas.openxmlformats.org/officeDocument/2006/relationships/worksheet" Target="/xl/worksheets/sheet17.xml" Id="R2da9d5a2b8e74d5b" /><Relationship Type="http://schemas.openxmlformats.org/officeDocument/2006/relationships/worksheet" Target="/xl/worksheets/sheet18.xml" Id="Rb624011df1dd4055" /><Relationship Type="http://schemas.openxmlformats.org/officeDocument/2006/relationships/worksheet" Target="/xl/worksheets/sheet19.xml" Id="R7637a70389bc48a2" /><Relationship Type="http://schemas.openxmlformats.org/officeDocument/2006/relationships/worksheet" Target="/xl/worksheets/sheet20.xml" Id="Rdc92bcb1759e4d91" /><Relationship Type="http://schemas.openxmlformats.org/officeDocument/2006/relationships/worksheet" Target="/xl/worksheets/sheet21.xml" Id="Radb11a93936f4700" /><Relationship Type="http://schemas.openxmlformats.org/officeDocument/2006/relationships/worksheet" Target="/xl/worksheets/sheet22.xml" Id="Rb29a4749f6624af8" /><Relationship Type="http://schemas.openxmlformats.org/officeDocument/2006/relationships/worksheet" Target="/xl/worksheets/sheet23.xml" Id="R83aaa4036ab84814" /><Relationship Type="http://schemas.openxmlformats.org/officeDocument/2006/relationships/worksheet" Target="/xl/worksheets/sheet24.xml" Id="Rb51b0e515e724b4d" /><Relationship Type="http://schemas.openxmlformats.org/officeDocument/2006/relationships/worksheet" Target="/xl/worksheets/sheet25.xml" Id="R9607915eaa4c4a48" /><Relationship Type="http://schemas.openxmlformats.org/officeDocument/2006/relationships/worksheet" Target="/xl/worksheets/sheet26.xml" Id="Rf46db926d0124828" /><Relationship Type="http://schemas.openxmlformats.org/officeDocument/2006/relationships/worksheet" Target="/xl/worksheets/sheet27.xml" Id="Rb7bd8400f3f647df" /><Relationship Type="http://schemas.openxmlformats.org/officeDocument/2006/relationships/worksheet" Target="/xl/worksheets/sheet28.xml" Id="Rb741abc0c5734f88" /><Relationship Type="http://schemas.openxmlformats.org/officeDocument/2006/relationships/worksheet" Target="/xl/worksheets/sheet29.xml" Id="Rdac118d7a01e4d67" /></Relationships>
</file>

<file path=xl/tables/table1.xml><?xml version="1.0" encoding="utf-8"?>
<x:table xmlns:x="http://schemas.openxmlformats.org/spreadsheetml/2006/main" id="1" name="SourcesTable" displayName="SourcesTable" ref="A5:N145" headerRowCount="1" totalsRowCount="0" totalsRowShown="0">
  <x:tableColumns count="14">
    <x:tableColumn id="1" name="Source ID"/>
    <x:tableColumn id="2" name="Source family"/>
    <x:tableColumn id="3" name="Exact title"/>
    <x:tableColumn id="4" name="Author / responsible organization"/>
    <x:tableColumn id="5" name="Edition / version"/>
    <x:tableColumn id="6" name="Publication / date note"/>
    <x:tableColumn id="7" name="Evidence state"/>
    <x:tableColumn id="8" name="Inspected clauses / artifact"/>
    <x:tableColumn id="9" name="Actual role"/>
    <x:tableColumn id="10" name="Disposition"/>
    <x:tableColumn id="11" name="Source URL / locator"/>
    <x:tableColumn id="12" name="Inspection date"/>
    <x:tableColumn id="13" name="Version / related URL notes"/>
    <x:tableColumn id="14" name="Narrative annotation"/>
  </x:tableColumns>
  <x:tableStyleInfo name="TableStyleMedium2" showFirstColumn="0" showLastColumn="0" showRowStripes="1" showColumnStripes="0"/>
</x:table>
</file>

<file path=xl/tables/table2.xml><?xml version="1.0" encoding="utf-8"?>
<x:table xmlns:x="http://schemas.openxmlformats.org/spreadsheetml/2006/main" id="2" name="RelationshipsTable" displayName="RelationshipsTable" ref="A5:I41" headerRowCount="1" totalsRowCount="0" totalsRowShown="0">
  <x:tableColumns count="9">
    <x:tableColumn id="1" name="ID"/>
    <x:tableColumn id="2" name="Source IDs"/>
    <x:tableColumn id="3" name="Concepts compared"/>
    <x:tableColumn id="4" name="Relationship"/>
    <x:tableColumn id="5" name="Assessment"/>
    <x:tableColumn id="6" name="Boundary / non-equivalence"/>
    <x:tableColumn id="7" name="Question that could change a decision"/>
    <x:tableColumn id="8" name="Evidence limit"/>
    <x:tableColumn id="9" name="Inspection date"/>
  </x:tableColumns>
  <x:tableStyleInfo name="TableStyleMedium2" showFirstColumn="0" showLastColumn="0" showRowStripes="1" showColumnStripes="0"/>
</x:table>
</file>

<file path=xl/tables/table3.xml><?xml version="1.0" encoding="utf-8"?>
<x:table xmlns:x="http://schemas.openxmlformats.org/spreadsheetml/2006/main" id="3" name="DISRTable" displayName="DISRTable" ref="A5:M25" headerRowCount="1" totalsRowCount="0" totalsRowShown="0">
  <x:tableColumns count="13">
    <x:tableColumn id="1" name="Standard identifier"/>
    <x:tableColumn id="2" name="Standard title"/>
    <x:tableColumn id="3" name="Standard class"/>
    <x:tableColumn id="4" name="DoD status"/>
    <x:tableColumn id="5" name="IC status"/>
    <x:tableColumn id="6" name="SDO as recorded"/>
    <x:tableColumn id="7" name="TWG primary"/>
    <x:tableColumn id="8" name="TWG secondary"/>
    <x:tableColumn id="9" name="Parsed source line"/>
    <x:tableColumn id="10" name="Assessment boundary"/>
    <x:tableColumn id="11" name="Supplied source filename"/>
    <x:tableColumn id="12" name="Recovery locator"/>
    <x:tableColumn id="13" name="Inspection date"/>
  </x:tableColumns>
  <x:tableStyleInfo name="TableStyleMedium2" showFirstColumn="0" showLastColumn="0" showRowStripes="1" showColumnStripes="0"/>
</x:table>
</file>

<file path=xl/tables/table4.xml><?xml version="1.0" encoding="utf-8"?>
<x:table xmlns:x="http://schemas.openxmlformats.org/spreadsheetml/2006/main" id="4" name="ProjectRecoveryTable" displayName="ProjectRecoveryTable" ref="A5:I33" headerRowCount="1" totalsRowCount="0" totalsRowShown="0">
  <x:tableColumns count="9">
    <x:tableColumn id="1" name="ID"/>
    <x:tableColumn id="2" name="Role"/>
    <x:tableColumn id="3" name="Filename"/>
    <x:tableColumn id="4" name="Document date / edition"/>
    <x:tableColumn id="5" name="Recovery state"/>
    <x:tableColumn id="6" name="Inspection scope"/>
    <x:tableColumn id="7" name="Contribution to this research"/>
    <x:tableColumn id="8" name="Recovery locator"/>
    <x:tableColumn id="9" name="Limits / next action"/>
  </x:tableColumns>
  <x:tableStyleInfo name="TableStyleMedium2" showFirstColumn="0" showLastColumn="0" showRowStripes="1" showColumnStripes="0"/>
</x:table>
</file>

<file path=xl/tables/table5.xml><?xml version="1.0" encoding="utf-8"?>
<x:table xmlns:x="http://schemas.openxmlformats.org/spreadsheetml/2006/main" id="5" name="ResearchQueueTable" displayName="ResearchQueueTable" ref="A5:J41" headerRowCount="1" totalsRowCount="0" totalsRowShown="0">
  <x:tableColumns count="10">
    <x:tableColumn id="1" name="ID"/>
    <x:tableColumn id="2" name="Priority"/>
    <x:tableColumn id="3" name="Status"/>
    <x:tableColumn id="4" name="Topic"/>
    <x:tableColumn id="5" name="Sources / leads"/>
    <x:tableColumn id="6" name="Named question / action"/>
    <x:tableColumn id="7" name="Decision impact"/>
    <x:tableColumn id="8" name="Evidence needed to close"/>
    <x:tableColumn id="9" name="Proposed reviewer / owner"/>
    <x:tableColumn id="10" name="Sequence / trigger"/>
  </x:tableColumns>
  <x:tableStyleInfo name="TableStyleMedium2" showFirstColumn="0" showLastColumn="0" showRowStripes="1" showColumnStripes="0"/>
</x:table>
</file>

<file path=xl/tables/table6.xml><?xml version="1.0" encoding="utf-8"?>
<x:table xmlns:x="http://schemas.openxmlformats.org/spreadsheetml/2006/main" id="6" name="OpennessTable" displayName="OpennessTable" ref="A5:J145" headerRowCount="1" totalsRowCount="0" totalsRowShown="0">
  <x:tableColumns count="10">
    <x:tableColumn id="1" name="Source ID"/>
    <x:tableColumn id="2" name="Source title"/>
    <x:tableColumn id="3" name="Text access"/>
    <x:tableColumn id="4" name="Observed notice / limits"/>
    <x:tableColumn id="5" name="Definition / schema reuse status"/>
    <x:tableColumn id="6" name="Implementation / patent status"/>
    <x:tableColumn id="7" name="Artifacts / tooling evidence"/>
    <x:tableColumn id="8" name="Participation / change governance"/>
    <x:tableColumn id="9" name="Next clearance question"/>
    <x:tableColumn id="10" name="Source URL / locator"/>
  </x:tableColumns>
  <x:tableStyleInfo name="TableStyleMedium2" showFirstColumn="0" showLastColumn="0" showRowStripes="1" showColumnStripes="0"/>
</x:table>
</file>

<file path=xl/tables/table7.xml><?xml version="1.0" encoding="utf-8"?>
<x:table xmlns:x="http://schemas.openxmlformats.org/spreadsheetml/2006/main" id="7" name="AdoptionActions" displayName="AdoptionActions" ref="A5:N145" headerRowCount="1" totalsRowCount="0" totalsRowShown="0">
  <x:tableColumns count="14">
    <x:tableColumn id="1" name="ID"/>
    <x:tableColumn id="2" name="Source / artifact"/>
    <x:tableColumn id="3" name="DISR evidence state"/>
    <x:tableColumn id="4" name="DoD status"/>
    <x:tableColumn id="5" name="IC status"/>
    <x:tableColumn id="6" name="DISR evidence locator"/>
    <x:tableColumn id="7" name="DISR recommendation"/>
    <x:tableColumn id="8" name="NATO evidence state"/>
    <x:tableColumn id="9" name="NATO evidence locator"/>
    <x:tableColumn id="10" name="NATO recommendation"/>
    <x:tableColumn id="11" name="Action trigger / prerequisite"/>
    <x:tableColumn id="12" name="Source URL / locator"/>
    <x:tableColumn id="13" name="Checked"/>
    <x:tableColumn id="14" name="Decision authority boundary"/>
  </x:tableColumns>
  <x:tableStyleInfo name="TableStyleMedium2" showFirstColumn="0" showLastColumn="0" showRowStripes="1" showColumnStripes="0"/>
</x:table>
</file>

<file path=xl/tables/table8.xml><?xml version="1.0" encoding="utf-8"?>
<x:table xmlns:x="http://schemas.openxmlformats.org/spreadsheetml/2006/main" id="8" name="IntendedUse" displayName="IntendedUse" ref="A5:H145" headerRowCount="1" totalsRowCount="0" totalsRowShown="0">
  <x:tableColumns count="8">
    <x:tableColumn id="1" name="ID"/>
    <x:tableColumn id="2" name="Source / artifact"/>
    <x:tableColumn id="3" name="Intended audience"/>
    <x:tableColumn id="4" name="Proposed reuse category"/>
    <x:tableColumn id="5" name="Inspected provisions"/>
    <x:tableColumn id="6" name="Narrative intended-use / conformance assessment"/>
    <x:tableColumn id="7" name="Source URL / locator"/>
    <x:tableColumn id="8" name="Assessment boundary"/>
  </x:tableColumns>
  <x:tableStyleInfo name="TableStyleMedium2" showFirstColumn="0" showLastColumn="0" showRowStripes="1" showColumnStripes="0"/>
</x:table>
</file>

<file path=xl/tables/table9.xml><?xml version="1.0" encoding="utf-8"?>
<x:table xmlns:x="http://schemas.openxmlformats.org/spreadsheetml/2006/main" id="9" name="SearchCoverage" displayName="SearchCoverage" ref="A5:I41" headerRowCount="1" totalsRowCount="0" totalsRowShown="0">
  <x:tableColumns count="9">
    <x:tableColumn id="1" name="ID"/>
    <x:tableColumn id="2" name="Date"/>
    <x:tableColumn id="3" name="Scope"/>
    <x:tableColumn id="4" name="Query / target"/>
    <x:tableColumn id="5" name="Outcome"/>
    <x:tableColumn id="6" name="Recovered evidence"/>
    <x:tableColumn id="7" name="Permitted conclusion / limit"/>
    <x:tableColumn id="8" name="Source identity / locator"/>
    <x:tableColumn id="9" name="Source URL / recovery reference"/>
  </x:tableColumns>
  <x:tableStyleInfo name="TableStyleMedium2" showFirstColumn="0" showLastColumn="0" showRowStripes="1" showColumnStripes="0"/>
</x:table>
</file>

<file path=xl/tables/table10.xml><?xml version="1.0" encoding="utf-8"?>
<x:table xmlns:x="http://schemas.openxmlformats.org/spreadsheetml/2006/main" id="10" name="ConformancePlan" displayName="ConformancePlan" ref="A5:I145" headerRowCount="1" totalsRowCount="0" totalsRowShown="0">
  <x:tableColumns count="9">
    <x:tableColumn id="1" name="ID"/>
    <x:tableColumn id="2" name="Source / exact artifact"/>
    <x:tableColumn id="3" name="Current disposition"/>
    <x:tableColumn id="4" name="Implementation target"/>
    <x:tableColumn id="5" name="Applicable requirements / dependencies"/>
    <x:tableColumn id="6" name="Research boundary"/>
    <x:tableColumn id="7" name="Meaning of the proposed implementation"/>
    <x:tableColumn id="8" name="Remaining content question / disposition"/>
    <x:tableColumn id="9" name="Source URL / locator"/>
  </x:tableColumns>
  <x:tableStyleInfo name="TableStyleMedium2" showFirstColumn="0" showLastColumn="0" showRowStripes="1" showColumnStripes="0"/>
</x:table>
</file>

<file path=xl/tables/table11.xml><?xml version="1.0" encoding="utf-8"?>
<x:table xmlns:x="http://schemas.openxmlformats.org/spreadsheetml/2006/main" id="11" name="OGCComparison" displayName="OGCComparison" ref="A5:H17" headerRowCount="1" totalsRowCount="0" totalsRowShown="0">
  <x:tableColumns count="8">
    <x:tableColumn id="1" name="ID"/>
    <x:tableColumn id="2" name="Question / information need"/>
    <x:tableColumn id="3" name="Historical source locator"/>
    <x:tableColumn id="4" name="Current OGC requirement / artifact"/>
    <x:tableColumn id="5" name="What the comparison establishes"/>
    <x:tableColumn id="6" name="Disposition / remaining gap"/>
    <x:tableColumn id="7" name="Recommendation"/>
    <x:tableColumn id="8" name="Assessment / evidence boundary"/>
  </x:tableColumns>
  <x:tableStyleInfo name="TableStyleMedium2" showFirstColumn="0" showLastColumn="0" showRowStripes="1" showColumnStripes="0"/>
</x:table>
</file>

<file path=xl/tables/table12.xml><?xml version="1.0" encoding="utf-8"?>
<x:table xmlns:x="http://schemas.openxmlformats.org/spreadsheetml/2006/main" id="12" name="RuleProbes" displayName="RuleProbes" ref="A5:I14" headerRowCount="1" totalsRowCount="0" totalsRowShown="0">
  <x:tableColumns count="9">
    <x:tableColumn id="1" name="ID"/>
    <x:tableColumn id="2" name="Synthetic case"/>
    <x:tableColumn id="3" name="Expected predicate result"/>
    <x:tableColumn id="4" name="Observed predicate result"/>
    <x:tableColumn id="5" name="Rule context"/>
    <x:tableColumn id="6" name="Exact XPath predicate(s)"/>
    <x:tableColumn id="7" name="Exact synthetic XML fragment"/>
    <x:tableColumn id="8" name="Source / method"/>
    <x:tableColumn id="9" name="Claim boundary"/>
  </x:tableColumns>
  <x:tableStyleInfo name="TableStyleMedium2" showFirstColumn="0" showLastColumn="0" showRowStripes="1" showColumnStripes="0"/>
</x:table>
</file>

<file path=xl/tables/table13.xml><?xml version="1.0" encoding="utf-8"?>
<x:table xmlns:x="http://schemas.openxmlformats.org/spreadsheetml/2006/main" id="13" name="WorkedComparisonTable" displayName="WorkedComparisonTable" ref="A5:J15" headerRowCount="1" totalsRowCount="0" totalsRowShown="0">
  <x:tableColumns count="10">
    <x:tableColumn id="1" name="Case ID"/>
    <x:tableColumn id="2" name="Source / subject"/>
    <x:tableColumn id="3" name="What the source supports"/>
    <x:tableColumn id="4" name="Meaning / evidence scope"/>
    <x:tableColumn id="5" name="Competent OGC treatment"/>
    <x:tableColumn id="6" name="Shared agreement contribution"/>
    <x:tableColumn id="7" name="External-model result"/>
    <x:tableColumn id="8" name="Source-specific work / limit"/>
    <x:tableColumn id="9" name="Evidence locator"/>
    <x:tableColumn id="10" name="Source URL / recovery locator"/>
  </x:tableColumns>
  <x:tableStyleInfo name="TableStyleMedium2" showFirstColumn="0" showLastColumn="0" showRowStripes="1" showColumnStripes="0"/>
</x:table>
</file>

<file path=xl/tables/table14.xml><?xml version="1.0" encoding="utf-8"?>
<x:table xmlns:x="http://schemas.openxmlformats.org/spreadsheetml/2006/main" id="14" name="FamilyApplicabilityTable" displayName="FamilyApplicabilityTable" ref="A5:I17" headerRowCount="1" totalsRowCount="0" totalsRowShown="0">
  <x:tableColumns count="9">
    <x:tableColumn id="1" name="ID"/>
    <x:tableColumn id="2" name="Established category / perspective"/>
    <x:tableColumn id="3" name="Evidence"/>
    <x:tableColumn id="4" name="Meaning / contribution"/>
    <x:tableColumn id="5" name="UGS applicability"/>
    <x:tableColumn id="6" name="Wider applicability"/>
    <x:tableColumn id="7" name="Recommendation"/>
    <x:tableColumn id="8" name="Limit / remaining decision"/>
    <x:tableColumn id="9" name="Source URL"/>
  </x:tableColumns>
  <x:tableStyleInfo name="TableStyleMedium2" showFirstColumn="0" showLastColumn="0" showRowStripes="1" showColumnStripes="0"/>
</x:table>
</file>

<file path=xl/tables/table15.xml><?xml version="1.0" encoding="utf-8"?>
<x:table xmlns:x="http://schemas.openxmlformats.org/spreadsheetml/2006/main" id="15" name="FoundationStudyIDMap" displayName="FoundationStudyIDMap" ref="A1:G51" headerRowCount="1" totalsRowCount="0" totalsRowShown="0">
  <x:tableColumns count="7">
    <x:tableColumn id="1" name="Study / local ID"/>
    <x:tableColumn id="2" name="Local source description"/>
    <x:tableColumn id="3" name="Global source ID / record"/>
    <x:tableColumn id="4" name="Reconciliation type"/>
    <x:tableColumn id="5" name="Study version"/>
    <x:tableColumn id="6" name="Evidence/authority note"/>
    <x:tableColumn id="7" name="Study original locator"/>
  </x:tableColumns>
  <x:tableStyleInfo name="TableStyleMedium2" showFirstColumn="0" showLastColumn="0" showRowStripes="1" showColumnStripes="0"/>
</x:table>
</file>

<file path=xl/tables/table16.xml><?xml version="1.0" encoding="utf-8"?>
<x:table xmlns:x="http://schemas.openxmlformats.org/spreadsheetml/2006/main" id="16" name="ResearchWorkstreams" displayName="ResearchWorkstreams" ref="A1:G13" headerRowCount="1" totalsRowCount="0" totalsRowShown="0">
  <x:tableColumns count="7">
    <x:tableColumn id="1" name="Workstream"/>
    <x:tableColumn id="2" name="Study / version"/>
    <x:tableColumn id="3" name="Evidence state"/>
    <x:tableColumn id="4" name="Applied contribution / result"/>
    <x:tableColumn id="5" name="Master sources"/>
    <x:tableColumn id="6" name="Residual / boundary"/>
    <x:tableColumn id="7" name="Current status 17 Oct 2026"/>
  </x:tableColumns>
  <x:tableStyleInfo name="TableStyleMedium2" showFirstColumn="0" showLastColumn="0" showRowStripes="1" showColumnStripes="0"/>
</x:table>
</file>

<file path=xl/tables/table17.xml><?xml version="1.0" encoding="utf-8"?>
<x:table xmlns:x="http://schemas.openxmlformats.org/spreadsheetml/2006/main" id="17" name="EvidenceAndDecisionGates" displayName="EvidenceAndDecisionGates" ref="A1:G14" headerRowCount="1" totalsRowCount="0" totalsRowShown="0">
  <x:tableColumns count="7">
    <x:tableColumn id="1" name="Gate"/>
    <x:tableColumn id="2" name="Status"/>
    <x:tableColumn id="3" name="Source / artifact"/>
    <x:tableColumn id="4" name="Why it matters"/>
    <x:tableColumn id="5" name="What is supportable"/>
    <x:tableColumn id="6" name="Remaining action"/>
    <x:tableColumn id="7" name="Affected scope"/>
  </x:tableColumns>
  <x:tableStyleInfo name="TableStyleMedium2" showFirstColumn="0" showLastColumn="0" showRowStripes="1" showColumnStripes="0"/>
</x:table>
</file>

<file path=xl/tables/table18.xml><?xml version="1.0" encoding="utf-8"?>
<x:table xmlns:x="http://schemas.openxmlformats.org/spreadsheetml/2006/main" id="18" name="AppliedR01R20TableV09" displayName="AppliedR01R20TableV09" ref="A1:H21" headerRowCount="1" totalsRowCount="0" totalsRowShown="0">
  <x:tableColumns count="8">
    <x:tableColumn id="1" name="R ID"/>
    <x:tableColumn id="2" name="Subject"/>
    <x:tableColumn id="3" name="Current status"/>
    <x:tableColumn id="4" name="Applied version"/>
    <x:tableColumn id="5" name="What is actually applied / retained"/>
    <x:tableColumn id="6" name="Still not established"/>
    <x:tableColumn id="7" name="Source IDs"/>
    <x:tableColumn id="8" name="Evidence locator"/>
  </x:tableColumns>
  <x:tableStyleInfo name="TableStyleMedium2" showFirstColumn="0" showLastColumn="0" showRowStripes="1" showColumnStripes="0"/>
</x:table>
</file>

<file path=xl/tables/table19.xml><?xml version="1.0" encoding="utf-8"?>
<x:table xmlns:x="http://schemas.openxmlformats.org/spreadsheetml/2006/main" id="19" name="DonorLineageTableV09" displayName="DonorLineageTableV09" ref="A1:I23" headerRowCount="1" totalsRowCount="0" totalsRowShown="0">
  <x:tableColumns count="9">
    <x:tableColumn id="1" name="ID"/>
    <x:tableColumn id="2" name="From"/>
    <x:tableColumn id="3" name="To / relationship target"/>
    <x:tableColumn id="4" name="Evidence type"/>
    <x:tableColumn id="5" name="Supported relationship"/>
    <x:tableColumn id="6" name="Source IDs"/>
    <x:tableColumn id="7" name="Exact locator"/>
    <x:tableColumn id="8" name="What is NOT implied"/>
    <x:tableColumn id="9" name="Verification depth"/>
  </x:tableColumns>
  <x:tableStyleInfo name="TableStyleMedium2" showFirstColumn="0" showLastColumn="0" showRowStripes="1" showColumnStripes="0"/>
</x:table>
</file>

<file path=xl/tables/table20.xml><?xml version="1.0" encoding="utf-8"?>
<x:table xmlns:x="http://schemas.openxmlformats.org/spreadsheetml/2006/main" id="20" name="DonorCoverageTableV09" displayName="DonorCoverageTableV09" ref="A1:H8" headerRowCount="1" totalsRowCount="0" totalsRowShown="0">
  <x:tableColumns count="8">
    <x:tableColumn id="1" name="Donor / edition"/>
    <x:tableColumn id="2" name="Source IDs"/>
    <x:tableColumn id="3" name="Evidence level"/>
    <x:tableColumn id="4" name="What the profile currently handles"/>
    <x:tableColumn id="5" name="Remaining mapping gap"/>
    <x:tableColumn id="6" name="Gap IDs"/>
    <x:tableColumn id="7" name="Claim boundary"/>
    <x:tableColumn id="8" name="Evidence locator"/>
  </x:tableColumns>
  <x:tableStyleInfo name="TableStyleMedium2" showFirstColumn="0" showLastColumn="0" showRowStripes="1" showColumnStripes="0"/>
</x:table>
</file>

<file path=xl/tables/table21.xml><?xml version="1.0" encoding="utf-8"?>
<x:table xmlns:x="http://schemas.openxmlformats.org/spreadsheetml/2006/main" id="21" name="IntegrationGapsTableV09" displayName="IntegrationGapsTableV09" ref="A1:I20" headerRowCount="1" totalsRowCount="0" totalsRowShown="0">
  <x:tableColumns count="9">
    <x:tableColumn id="1" name="Gap ID"/>
    <x:tableColumn id="2" name="Area"/>
    <x:tableColumn id="3" name="Status"/>
    <x:tableColumn id="4" name="Already covered"/>
    <x:tableColumn id="5" name="What remains"/>
    <x:tableColumn id="6" name="Proportionate next action"/>
    <x:tableColumn id="7" name="Dependency boundary"/>
    <x:tableColumn id="8" name="Source IDs"/>
    <x:tableColumn id="9" name="Evidence locator"/>
  </x:tableColumns>
  <x:tableStyleInfo name="TableStyleMedium2" showFirstColumn="0" showLastColumn="0" showRowStripes="1" showColumnStripes="0"/>
</x:table>
</file>

<file path=xl/tables/table22.xml><?xml version="1.0" encoding="utf-8"?>
<x:table xmlns:x="http://schemas.openxmlformats.org/spreadsheetml/2006/main" id="22" name="DISRScreenHandoffTableV09" displayName="DISRScreenHandoffTableV09" ref="A1:K30" headerRowCount="1" totalsRowCount="0" totalsRowShown="0">
  <x:tableColumns count="11">
    <x:tableColumn id="1" name="Exact identifier"/>
    <x:tableColumn id="2" name="Recorded title"/>
    <x:tableColumn id="3" name="Priority"/>
    <x:tableColumn id="4" name="DoD status"/>
    <x:tableColumn id="5" name="IC status"/>
    <x:tableColumn id="6" name="R scope"/>
    <x:tableColumn id="7" name="Original study disposition"/>
    <x:tableColumn id="8" name="Current consolidation action"/>
    <x:tableColumn id="9" name="Prior master linkage"/>
    <x:tableColumn id="10" name="Source-study locator"/>
    <x:tableColumn id="11" name="Applicability boundary"/>
  </x:tableColumns>
  <x:tableStyleInfo name="TableStyleMedium2" showFirstColumn="0" showLastColumn="0" showRowStripes="1" showColumnStripes="0"/>
</x:table>
</file>

<file path=xl/tables/table23.xml><?xml version="1.0" encoding="utf-8"?>
<x:table xmlns:x="http://schemas.openxmlformats.org/spreadsheetml/2006/main" id="23" name="ArtifactInventoryTableV09" displayName="ArtifactInventoryTableV09" ref="A1:G17" headerRowCount="1" totalsRowCount="0" totalsRowShown="0">
  <x:tableColumns count="7">
    <x:tableColumn id="1" name="Source ID"/>
    <x:tableColumn id="2" name="Artifact"/>
    <x:tableColumn id="3" name="Role / edition"/>
    <x:tableColumn id="4" name="SHA-256 or pin boundary"/>
    <x:tableColumn id="5" name="Bytes"/>
    <x:tableColumn id="6" name="Verification level"/>
    <x:tableColumn id="7" name="Locator"/>
  </x:tableColumns>
  <x:tableStyleInfo name="TableStyleMedium2" showFirstColumn="0" showLastColumn="0" showRowStripes="1" showColumnStripes="0"/>
</x:table>
</file>

<file path=xl/tables/table24.xml><?xml version="1.0" encoding="utf-8"?>
<x:table xmlns:x="http://schemas.openxmlformats.org/spreadsheetml/2006/main" id="24" name="ChangeLedgerTableV09" displayName="ChangeLedgerTableV09" ref="A1:F104" headerRowCount="1" totalsRowCount="0" totalsRowShown="0">
  <x:tableColumns count="6">
    <x:tableColumn id="1" name="Action"/>
    <x:tableColumn id="2" name="Artifact/sheet"/>
    <x:tableColumn id="3" name="Location / ID"/>
    <x:tableColumn id="4" name="Before"/>
    <x:tableColumn id="5" name="After"/>
    <x:tableColumn id="6" name="Reason / boundary"/>
  </x:tableColumns>
  <x:tableStyleInfo name="TableStyleMedium2" showFirstColumn="0" showLastColumn="0" showRowStripes="1" showColumnStripes="0"/>
</x:table>
</file>

<file path=xl/tables/table25.xml><?xml version="1.0" encoding="utf-8"?>
<x:table xmlns:x="http://schemas.openxmlformats.org/spreadsheetml/2006/main" id="25" name="OSCARMappingV010" displayName="OSCARMappingV010" ref="A1:J28" headerRowCount="1" totalsRowCount="0" totalsRowShown="0">
  <x:tableColumns count="10">
    <x:tableColumn id="1" name="ID"/>
    <x:tableColumn id="2" name="Source concept"/>
    <x:tableColumn id="3" name="Source meaning"/>
    <x:tableColumn id="4" name="Existing MPSS"/>
    <x:tableColumn id="5" name="Selected representation / design"/>
    <x:tableColumn id="6" name="Fit class"/>
    <x:tableColumn id="7" name="Preserved"/>
    <x:tableColumn id="8" name="Residual"/>
    <x:tableColumn id="9" name="Do not infer"/>
    <x:tableColumn id="10" name="Source URL"/>
  </x:tableColumns>
  <x:tableStyleInfo name="TableStyleMedium2" showFirstColumn="0" showLastColumn="0" showRowStripes="1" showColumnStripes="0"/>
</x:table>
</file>

<file path=xl/tables/table26.xml><?xml version="1.0" encoding="utf-8"?>
<x:table xmlns:x="http://schemas.openxmlformats.org/spreadsheetml/2006/main" id="26" name="OSCARResidualsV010" displayName="OSCARResidualsV010" ref="A1:G9" headerRowCount="1" totalsRowCount="0" totalsRowShown="0">
  <x:tableColumns count="7">
    <x:tableColumn id="1" name="ID"/>
    <x:tableColumn id="2" name="Question"/>
    <x:tableColumn id="3" name="Gap kind"/>
    <x:tableColumn id="4" name="Finding"/>
    <x:tableColumn id="5" name="Sources"/>
    <x:tableColumn id="6" name="Next action"/>
    <x:tableColumn id="7" name="Boundary"/>
  </x:tableColumns>
  <x:tableStyleInfo name="TableStyleMedium2" showFirstColumn="0" showLastColumn="0" showRowStripes="1" showColumnStripes="0"/>
</x:table>
</file>

<file path=xl/tables/table27.xml><?xml version="1.0" encoding="utf-8"?>
<x:table xmlns:x="http://schemas.openxmlformats.org/spreadsheetml/2006/main" id="27" name="OSCARDispositionsV010" displayName="OSCARDispositionsV010" ref="A1:E11" headerRowCount="1" totalsRowCount="0" totalsRowShown="0">
  <x:tableColumns count="5">
    <x:tableColumn id="1" name="ID"/>
    <x:tableColumn id="2" name="Disposition"/>
    <x:tableColumn id="3" name="Subject"/>
    <x:tableColumn id="4" name="Reason"/>
    <x:tableColumn id="5" name="Effe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8139c8906ec4562" /></Relationships>
</file>

<file path=xl/worksheets/_rels/sheet2.xml.rels>&#65279;<?xml version="1.0" encoding="utf-8"?><Relationships xmlns="http://schemas.openxmlformats.org/package/2006/relationships"><Relationship Type="http://schemas.openxmlformats.org/officeDocument/2006/relationships/table" Target="/xl/tables/table2.xml" Id="Rd160891e5f734b5b" /></Relationships>
</file>

<file path=xl/worksheets/_rels/sheet3.xml.rels>&#65279;<?xml version="1.0" encoding="utf-8"?><Relationships xmlns="http://schemas.openxmlformats.org/package/2006/relationships"><Relationship Type="http://schemas.openxmlformats.org/officeDocument/2006/relationships/table" Target="/xl/tables/table3.xml" Id="R3325ba17cd474b23" /></Relationships>
</file>

<file path=xl/worksheets/_rels/sheet4.xml.rels>&#65279;<?xml version="1.0" encoding="utf-8"?><Relationships xmlns="http://schemas.openxmlformats.org/package/2006/relationships"><Relationship Type="http://schemas.openxmlformats.org/officeDocument/2006/relationships/table" Target="/xl/tables/table4.xml" Id="Rf86f0c31a6d546a1" /></Relationships>
</file>

<file path=xl/worksheets/_rels/sheet5.xml.rels>&#65279;<?xml version="1.0" encoding="utf-8"?><Relationships xmlns="http://schemas.openxmlformats.org/package/2006/relationships"><Relationship Type="http://schemas.openxmlformats.org/officeDocument/2006/relationships/table" Target="/xl/tables/table5.xml" Id="Rccb746f2fb414d3c" /></Relationships>
</file>

<file path=xl/worksheets/_rels/sheet6.xml.rels>&#65279;<?xml version="1.0" encoding="utf-8"?><Relationships xmlns="http://schemas.openxmlformats.org/package/2006/relationships"><Relationship Type="http://schemas.openxmlformats.org/officeDocument/2006/relationships/table" Target="/xl/tables/table6.xml" Id="R848ba8270ad54c8f" /></Relationships>
</file>

<file path=xl/worksheets/_rels/sheet8.xml.rels>&#65279;<?xml version="1.0" encoding="utf-8"?><Relationships xmlns="http://schemas.openxmlformats.org/package/2006/relationships"><Relationship Type="http://schemas.openxmlformats.org/officeDocument/2006/relationships/table" Target="/xl/tables/table7.xml" Id="Rc2303a8bf1cb414e" /></Relationships>
</file>

<file path=xl/worksheets/_rels/sheet9.xml.rels>&#65279;<?xml version="1.0" encoding="utf-8"?><Relationships xmlns="http://schemas.openxmlformats.org/package/2006/relationships"><Relationship Type="http://schemas.openxmlformats.org/officeDocument/2006/relationships/table" Target="/xl/tables/table8.xml" Id="R58c8c0cb90d84fae" /></Relationships>
</file>

<file path=xl/worksheets/_rels/sheet10.xml.rels>&#65279;<?xml version="1.0" encoding="utf-8"?><Relationships xmlns="http://schemas.openxmlformats.org/package/2006/relationships"><Relationship Type="http://schemas.openxmlformats.org/officeDocument/2006/relationships/table" Target="/xl/tables/table9.xml" Id="R3fa4cb0ad7734f81" /></Relationships>
</file>

<file path=xl/worksheets/_rels/sheet11.xml.rels>&#65279;<?xml version="1.0" encoding="utf-8"?><Relationships xmlns="http://schemas.openxmlformats.org/package/2006/relationships"><Relationship Type="http://schemas.openxmlformats.org/officeDocument/2006/relationships/table" Target="/xl/tables/table10.xml" Id="R7ab47eb15e524698" /></Relationships>
</file>

<file path=xl/worksheets/_rels/sheet12.xml.rels>&#65279;<?xml version="1.0" encoding="utf-8"?><Relationships xmlns="http://schemas.openxmlformats.org/package/2006/relationships"><Relationship Type="http://schemas.openxmlformats.org/officeDocument/2006/relationships/table" Target="/xl/tables/table11.xml" Id="R6b829cfef1cc4c6e" /></Relationships>
</file>

<file path=xl/worksheets/_rels/sheet13.xml.rels>&#65279;<?xml version="1.0" encoding="utf-8"?><Relationships xmlns="http://schemas.openxmlformats.org/package/2006/relationships"><Relationship Type="http://schemas.openxmlformats.org/officeDocument/2006/relationships/table" Target="/xl/tables/table12.xml" Id="Rcf1ce036842c4517" /></Relationships>
</file>

<file path=xl/worksheets/_rels/sheet14.xml.rels>&#65279;<?xml version="1.0" encoding="utf-8"?><Relationships xmlns="http://schemas.openxmlformats.org/package/2006/relationships"><Relationship Type="http://schemas.openxmlformats.org/officeDocument/2006/relationships/table" Target="/xl/tables/table13.xml" Id="R75e18a42fa91467c" /></Relationships>
</file>

<file path=xl/worksheets/_rels/sheet15.xml.rels>&#65279;<?xml version="1.0" encoding="utf-8"?><Relationships xmlns="http://schemas.openxmlformats.org/package/2006/relationships"><Relationship Type="http://schemas.openxmlformats.org/officeDocument/2006/relationships/table" Target="/xl/tables/table14.xml" Id="R632dfb28a9dc4dbc" /></Relationships>
</file>

<file path=xl/worksheets/_rels/sheet16.xml.rels>&#65279;<?xml version="1.0" encoding="utf-8"?><Relationships xmlns="http://schemas.openxmlformats.org/package/2006/relationships"><Relationship Type="http://schemas.openxmlformats.org/officeDocument/2006/relationships/table" Target="/xl/tables/table15.xml" Id="R3f76ee787f8d48a6" /></Relationships>
</file>

<file path=xl/worksheets/_rels/sheet17.xml.rels>&#65279;<?xml version="1.0" encoding="utf-8"?><Relationships xmlns="http://schemas.openxmlformats.org/package/2006/relationships"><Relationship Type="http://schemas.openxmlformats.org/officeDocument/2006/relationships/table" Target="/xl/tables/table16.xml" Id="Rcb0f7e046a1946bc" /></Relationships>
</file>

<file path=xl/worksheets/_rels/sheet18.xml.rels>&#65279;<?xml version="1.0" encoding="utf-8"?><Relationships xmlns="http://schemas.openxmlformats.org/package/2006/relationships"><Relationship Type="http://schemas.openxmlformats.org/officeDocument/2006/relationships/table" Target="/xl/tables/table17.xml" Id="R62510341fa6c4d96" /></Relationships>
</file>

<file path=xl/worksheets/_rels/sheet19.xml.rels>&#65279;<?xml version="1.0" encoding="utf-8"?><Relationships xmlns="http://schemas.openxmlformats.org/package/2006/relationships"><Relationship Type="http://schemas.openxmlformats.org/officeDocument/2006/relationships/table" Target="/xl/tables/table18.xml" Id="Rbb912c47799643a2" /></Relationships>
</file>

<file path=xl/worksheets/_rels/sheet20.xml.rels>&#65279;<?xml version="1.0" encoding="utf-8"?><Relationships xmlns="http://schemas.openxmlformats.org/package/2006/relationships"><Relationship Type="http://schemas.openxmlformats.org/officeDocument/2006/relationships/table" Target="/xl/tables/table19.xml" Id="R79403ef3daa74981" /></Relationships>
</file>

<file path=xl/worksheets/_rels/sheet21.xml.rels>&#65279;<?xml version="1.0" encoding="utf-8"?><Relationships xmlns="http://schemas.openxmlformats.org/package/2006/relationships"><Relationship Type="http://schemas.openxmlformats.org/officeDocument/2006/relationships/table" Target="/xl/tables/table20.xml" Id="R88bff6c59ccb4b47" /></Relationships>
</file>

<file path=xl/worksheets/_rels/sheet22.xml.rels>&#65279;<?xml version="1.0" encoding="utf-8"?><Relationships xmlns="http://schemas.openxmlformats.org/package/2006/relationships"><Relationship Type="http://schemas.openxmlformats.org/officeDocument/2006/relationships/table" Target="/xl/tables/table21.xml" Id="Rf4298d69419d4547" /></Relationships>
</file>

<file path=xl/worksheets/_rels/sheet23.xml.rels>&#65279;<?xml version="1.0" encoding="utf-8"?><Relationships xmlns="http://schemas.openxmlformats.org/package/2006/relationships"><Relationship Type="http://schemas.openxmlformats.org/officeDocument/2006/relationships/table" Target="/xl/tables/table22.xml" Id="Rb01ad53e7e764b3b" /></Relationships>
</file>

<file path=xl/worksheets/_rels/sheet24.xml.rels>&#65279;<?xml version="1.0" encoding="utf-8"?><Relationships xmlns="http://schemas.openxmlformats.org/package/2006/relationships"><Relationship Type="http://schemas.openxmlformats.org/officeDocument/2006/relationships/table" Target="/xl/tables/table23.xml" Id="R8a27ac5737a74f16" /></Relationships>
</file>

<file path=xl/worksheets/_rels/sheet25.xml.rels>&#65279;<?xml version="1.0" encoding="utf-8"?><Relationships xmlns="http://schemas.openxmlformats.org/package/2006/relationships"><Relationship Type="http://schemas.openxmlformats.org/officeDocument/2006/relationships/table" Target="/xl/tables/table24.xml" Id="R4ed3473924014980" /></Relationships>
</file>

<file path=xl/worksheets/_rels/sheet26.xml.rels>&#65279;<?xml version="1.0" encoding="utf-8"?><Relationships xmlns="http://schemas.openxmlformats.org/package/2006/relationships"><Relationship Type="http://schemas.openxmlformats.org/officeDocument/2006/relationships/table" Target="/xl/tables/table25.xml" Id="R97137ce9165d4a46" /></Relationships>
</file>

<file path=xl/worksheets/_rels/sheet27.xml.rels>&#65279;<?xml version="1.0" encoding="utf-8"?><Relationships xmlns="http://schemas.openxmlformats.org/package/2006/relationships"><Relationship Type="http://schemas.openxmlformats.org/officeDocument/2006/relationships/table" Target="/xl/tables/table26.xml" Id="Rdc22d218b5734637" /></Relationships>
</file>

<file path=xl/worksheets/_rels/sheet28.xml.rels>&#65279;<?xml version="1.0" encoding="utf-8"?><Relationships xmlns="http://schemas.openxmlformats.org/package/2006/relationships"><Relationship Type="http://schemas.openxmlformats.org/officeDocument/2006/relationships/table" Target="/xl/tables/table27.xml" Id="Rf9718e57ac9743e5" /></Relationships>
</file>

<file path=xl/worksheets/sheet1.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1" hidden="0" customWidth="1"/>
    <x:col min="2" max="2" width="28" hidden="0" customWidth="1"/>
    <x:col min="3" max="3" width="48" hidden="0" customWidth="1"/>
    <x:col min="4" max="4" width="34" hidden="0" customWidth="1"/>
    <x:col min="5" max="5" width="40" hidden="0" customWidth="1"/>
    <x:col min="6" max="6" width="25" hidden="0" customWidth="1"/>
    <x:col min="7" max="7" width="43" hidden="0" customWidth="1"/>
    <x:col min="8" max="8" width="50" hidden="0" customWidth="1"/>
    <x:col min="9" max="9" width="43" hidden="0" customWidth="1"/>
    <x:col min="10" max="10" width="45" hidden="0" customWidth="1"/>
    <x:col min="11" max="11" width="54" hidden="0" customWidth="1"/>
    <x:col min="12" max="12" width="24" hidden="0" customWidth="1"/>
    <x:col min="13" max="13" width="58" hidden="0" customWidth="1"/>
    <x:col min="14" max="14" width="15" hidden="0" customWidth="1"/>
  </x:cols>
  <x:sheetData>
    <x:row r="1" ht="30" customHeight="1">
      <x:c r="A1" s="95" t="str">
        <x:v>MERLIN | Research source register v0.10 | 22 October 2026</x:v>
      </x:c>
      <x:c r="B1" s="95"/>
      <x:c r="C1" s="95"/>
      <x:c r="D1" s="95"/>
      <x:c r="E1" s="95"/>
      <x:c r="F1" s="95"/>
      <x:c r="G1" s="95"/>
      <x:c r="H1" s="95"/>
      <x:c r="I1" s="95"/>
      <x:c r="J1" s="95"/>
      <x:c r="K1" s="95"/>
      <x:c r="L1" s="95"/>
      <x:c r="M1" s="95"/>
      <x:c r="N1" s="95"/>
    </x:row>
    <x:row r="2" ht="30" customHeight="1">
      <x:c r="A2" s="98" t="str">
        <x:v>S01–S124 retained; S125–S140 added. Technical profile v0.3.5 unchanged. Read the OSCAR Summary and source-access boundaries.</x:v>
      </x:c>
      <x:c r="B2" s="98"/>
      <x:c r="C2" s="98"/>
      <x:c r="D2" s="98"/>
      <x:c r="E2" s="98"/>
      <x:c r="F2" s="98"/>
      <x:c r="G2" s="98"/>
      <x:c r="H2" s="98"/>
      <x:c r="I2" s="98"/>
      <x:c r="J2" s="98"/>
      <x:c r="K2" s="98"/>
      <x:c r="L2" s="98"/>
      <x:c r="M2" s="98"/>
      <x:c r="N2" s="98"/>
    </x:row>
    <x:row r="3" ht="30" customHeight="1">
      <x:c r="A3" s="241" t="str">
        <x:v>Canonical source IDs are persistent. Studies may use local IDs; see Study ID Crosswalk. R01–R20 remain profile relationships, not source IDs.</x:v>
      </x:c>
      <x:c r="B3" s="241"/>
      <x:c r="C3" s="241"/>
      <x:c r="D3" s="241"/>
      <x:c r="E3" s="241"/>
      <x:c r="F3" s="241"/>
      <x:c r="G3" s="241"/>
      <x:c r="H3" s="241"/>
      <x:c r="I3" s="241"/>
      <x:c r="J3" s="241"/>
      <x:c r="K3" s="241"/>
      <x:c r="L3" s="241"/>
      <x:c r="M3" s="241"/>
      <x:c r="N3" s="241"/>
    </x:row>
    <x:row r="4" ht="9" customHeight="1">
      <x:c r="A4" s="89"/>
      <x:c r="B4" s="89"/>
      <x:c r="C4" s="89"/>
      <x:c r="D4" s="89"/>
      <x:c r="E4" s="89"/>
      <x:c r="F4" s="89"/>
      <x:c r="G4" s="89"/>
      <x:c r="H4" s="89"/>
      <x:c r="I4" s="89"/>
      <x:c r="J4" s="89"/>
      <x:c r="K4" s="89"/>
      <x:c r="L4" s="89"/>
      <x:c r="M4" s="89"/>
      <x:c r="N4" s="89"/>
    </x:row>
    <x:row r="5" ht="38" customHeight="1">
      <x:c r="A5" s="308" t="str">
        <x:v>Source ID</x:v>
      </x:c>
      <x:c r="B5" s="308" t="str">
        <x:v>Source family</x:v>
      </x:c>
      <x:c r="C5" s="308" t="str">
        <x:v>Exact title</x:v>
      </x:c>
      <x:c r="D5" s="308" t="str">
        <x:v>Author / responsible organization</x:v>
      </x:c>
      <x:c r="E5" s="308" t="str">
        <x:v>Edition / version</x:v>
      </x:c>
      <x:c r="F5" s="308" t="str">
        <x:v>Publication / date note</x:v>
      </x:c>
      <x:c r="G5" s="308" t="str">
        <x:v>Evidence state</x:v>
      </x:c>
      <x:c r="H5" s="308" t="str">
        <x:v>Inspected clauses / artifact</x:v>
      </x:c>
      <x:c r="I5" s="308" t="str">
        <x:v>Actual role</x:v>
      </x:c>
      <x:c r="J5" s="308" t="str">
        <x:v>Disposition</x:v>
      </x:c>
      <x:c r="K5" s="308" t="str">
        <x:v>Source URL / locator</x:v>
      </x:c>
      <x:c r="L5" s="308" t="str">
        <x:v>Inspection date</x:v>
      </x:c>
      <x:c r="M5" s="308" t="str">
        <x:v>Version / related URL notes</x:v>
      </x:c>
      <x:c r="N5" s="308" t="str">
        <x:v>Narrative annotation</x:v>
      </x:c>
    </x:row>
    <x:row r="6" ht="74" hidden="0" customHeight="1">
      <x:c r="A6" s="309" t="str">
        <x:v>S01</x:v>
      </x:c>
      <x:c r="B6" s="310" t="str">
        <x:v>OGC foundation</x:v>
      </x:c>
      <x:c r="C6" s="310" t="str">
        <x:v>OGC SensorML Encoding Standard</x:v>
      </x:c>
      <x:c r="D6" s="310" t="str">
        <x:v>Open Geospatial Consortium</x:v>
      </x:c>
      <x:c r="E6" s="310" t="str">
        <x:v>3.0; OGC 23-000</x:v>
      </x:c>
      <x:c r="F6" s="310" t="str">
        <x:v>2025-07-16</x:v>
      </x:c>
      <x:c r="G6" s="310" t="str">
        <x:v>Normative text—selected clauses</x:v>
      </x:c>
      <x:c r="H6" s="310" t="str">
        <x:v>§§8.2.4–8.2.5, 8.2.9.1, 8.2.9.3, 8.8; retained earlier review</x:v>
      </x:c>
      <x:c r="I6" s="310" t="str">
        <x:v>Process/system description and encoding</x:v>
      </x:c>
      <x:c r="J6" s="310" t="str">
        <x:v>Native OGC descriptive baseline; approved refinements through v0.3.5.</x:v>
      </x:c>
      <x:c r="K6" s="310" t="str">
        <x:v>https://docs.ogc.org/is/23-000/23-000.html</x:v>
      </x:c>
      <x:c r="L6" s="311" t="str">
        <x:v>2026-10-12</x:v>
      </x:c>
      <x:c r="M6" s="310" t="str">
        <x:v>— | 17 Oct update: Later selected checks: §§8.8.1–8.8.2, Mode/DescribedObject/Settings and DerivedProperty schemas; see S59.</x:v>
      </x:c>
      <x:c r="N6" s="310" t="str">
        <x:v>Yes</x:v>
      </x:c>
    </x:row>
    <x:row r="7" ht="74" hidden="0" customHeight="1">
      <x:c r="A7" s="312" t="str">
        <x:v>S02</x:v>
      </x:c>
      <x:c r="B7" s="313" t="str">
        <x:v>OGC foundation</x:v>
      </x:c>
      <x:c r="C7" s="313" t="str">
        <x:v>OGC SWE Common Data Model Encoding Standard</x:v>
      </x:c>
      <x:c r="D7" s="313" t="str">
        <x:v>Open Geospatial Consortium</x:v>
      </x:c>
      <x:c r="E7" s="313" t="str">
        <x:v>3.0; OGC 24-014</x:v>
      </x:c>
      <x:c r="F7" s="313" t="str">
        <x:v>2025-07-16</x:v>
      </x:c>
      <x:c r="G7" s="313" t="str">
        <x:v>Normative text—selected clauses</x:v>
      </x:c>
      <x:c r="H7" s="313" t="str">
        <x:v>§9 component classes; /req/json-simple-components/definition-resolvable; inline constraints; SensorML dependency on /req/json-block-components</x:v>
      </x:c>
      <x:c r="I7" s="313" t="str">
        <x:v>Typed data components, semantic references, and encodings</x:v>
      </x:c>
      <x:c r="J7" s="313" t="str">
        <x:v>Native OGC value/encoding baseline; bounded unit/nil interpretation applied in v0.3.5.</x:v>
      </x:c>
      <x:c r="K7" s="313" t="str">
        <x:v>https://docs.ogc.org/is/24-014/24-014.html</x:v>
      </x:c>
      <x:c r="L7" s="314" t="str">
        <x:v>2026-10-12</x:v>
      </x:c>
      <x:c r="M7" s="313" t="str">
        <x:v>— | 17 Oct update: Later selected checks §§8.2.16/9.1.15 and supporting Quantity/basicTypes schemas S123.</x:v>
      </x:c>
      <x:c r="N7" s="313" t="str">
        <x:v>Yes</x:v>
      </x:c>
    </x:row>
    <x:row r="8" ht="74" hidden="0" customHeight="1">
      <x:c r="A8" s="309" t="str">
        <x:v>S03</x:v>
      </x:c>
      <x:c r="B8" s="310" t="str">
        <x:v>OGC foundation</x:v>
      </x:c>
      <x:c r="C8" s="310" t="str">
        <x:v>OGC API – Connected Systems – Part 1: Feature Resources</x:v>
      </x:c>
      <x:c r="D8" s="310" t="str">
        <x:v>Open Geospatial Consortium</x:v>
      </x:c>
      <x:c r="E8" s="310" t="str">
        <x:v>1.0; OGC 23-001</x:v>
      </x:c>
      <x:c r="F8" s="310" t="str">
        <x:v>2025-07-16</x:v>
      </x:c>
      <x:c r="G8" s="310" t="str">
        <x:v>Normative text—selected clauses</x:v>
      </x:c>
      <x:c r="H8" s="310" t="str">
        <x:v>/req/api-common; /req/system-features; /req/sensorml; optional /req/subsystems only when selected; prerequisites and conditional requirements</x:v>
      </x:c>
      <x:c r="I8" s="310" t="str">
        <x:v>Resource identities, associations, and feature-resource API</x:v>
      </x:c>
      <x:c r="J8" s="310" t="str">
        <x:v>Native OGC resource foundation; R01/R02/R11 clarifications applied.</x:v>
      </x:c>
      <x:c r="K8" s="310" t="str">
        <x:v>https://docs.ogc.org/is/23-001/23-001.html</x:v>
      </x:c>
      <x:c r="L8" s="311" t="str">
        <x:v>2026-10-12</x:v>
      </x:c>
      <x:c r="M8" s="310" t="str">
        <x:v>— | 17 Oct update: Later selected checks §§14–15 and §19 sampling/property encodings; supporting schema S121.</x:v>
      </x:c>
      <x:c r="N8" s="310" t="str">
        <x:v>Yes</x:v>
      </x:c>
    </x:row>
    <x:row r="9" ht="74" hidden="0" customHeight="1">
      <x:c r="A9" s="312" t="str">
        <x:v>S04</x:v>
      </x:c>
      <x:c r="B9" s="313" t="str">
        <x:v>OGC foundation</x:v>
      </x:c>
      <x:c r="C9" s="313" t="str">
        <x:v>OGC API – Connected Systems – Part 2: Dynamic Data</x:v>
      </x:c>
      <x:c r="D9" s="313" t="str">
        <x:v>Open Geospatial Consortium</x:v>
      </x:c>
      <x:c r="E9" s="313" t="str">
        <x:v>1.0; OGC 23-002</x:v>
      </x:c>
      <x:c r="F9" s="313" t="str">
        <x:v>2025-07-16</x:v>
      </x:c>
      <x:c r="G9" s="313" t="str">
        <x:v>Normative text—selected clauses</x:v>
      </x:c>
      <x:c r="H9" s="313" t="str">
        <x:v>§10.11 command progress; retained earlier resource/schema review</x:v>
      </x:c>
      <x:c r="I9" s="313" t="str">
        <x:v>Dynamic observations, commands, and encoding contracts</x:v>
      </x:c>
      <x:c r="J9" s="313" t="str">
        <x:v>Native OGC dynamic-data/control foundation; R10/R11/R12/R20 refinements applied.</x:v>
      </x:c>
      <x:c r="K9" s="313" t="str">
        <x:v>https://docs.ogc.org/is/23-002/23-002.html</x:v>
      </x:c>
      <x:c r="L9" s="314" t="str">
        <x:v>2026-10-12</x:v>
      </x:c>
      <x:c r="M9" s="313" t="str">
        <x:v>— | 17 Oct update: Later selected checks §9.2/9.7 and §10; supporting DataStream/Observation schemas S122; no full validation claim.</x:v>
      </x:c>
      <x:c r="N9" s="313" t="str">
        <x:v>Yes</x:v>
      </x:c>
    </x:row>
    <x:row r="10" ht="74" hidden="0" customHeight="1">
      <x:c r="A10" s="309" t="str">
        <x:v>S05</x:v>
      </x:c>
      <x:c r="B10" s="310" t="str">
        <x:v>OPC UA device models</x:v>
      </x:c>
      <x:c r="C10" s="310" t="str">
        <x:v>OPC Unified Architecture – Part 100: Devices</x:v>
      </x:c>
      <x:c r="D10" s="310" t="str">
        <x:v>OPC Foundation</x:v>
      </x:c>
      <x:c r="E10" s="310" t="str">
        <x:v>1.05.0; OPC 10000-100</x:v>
      </x:c>
      <x:c r="F10" s="310" t="str">
        <x:v>2025-11-15</x:v>
      </x:c>
      <x:c r="G10" s="310" t="str">
        <x:v>Informative guidance in a specification</x:v>
      </x:c>
      <x:c r="H10" s="310" t="str">
        <x:v>Devices §11 profiles/ConformanceUnits; Part 7 §4 profile and mandatory-unit obligations</x:v>
      </x:c>
      <x:c r="I10" s="310" t="str">
        <x:v>Reusable device aspects and model-composition precedent</x:v>
      </x:c>
      <x:c r="J10" s="310" t="str">
        <x:v>Conditional native-source comparator; no preferred architecture</x:v>
      </x:c>
      <x:c r="K10" s="310" t="str">
        <x:v>https://reference.opcfoundation.org/specs/OPC-10000-100/v1.05.0</x:v>
      </x:c>
      <x:c r="L10" s="311" t="str">
        <x:v>2026-10-12</x:v>
      </x:c>
      <x:c r="M10" s="310" t="str">
        <x:v>Full text inspected at https://reference.opcfoundation.org/specs/OPC-10000-100/full; catalog displayed 1.05.0.</x:v>
      </x:c>
      <x:c r="N10" s="310" t="str">
        <x:v>Yes</x:v>
      </x:c>
    </x:row>
    <x:row r="11" ht="74" hidden="0" customHeight="1">
      <x:c r="A11" s="312" t="str">
        <x:v>S06</x:v>
      </x:c>
      <x:c r="B11" s="313" t="str">
        <x:v>OPC UA device models</x:v>
      </x:c>
      <x:c r="C11" s="313" t="str">
        <x:v>OPC UA for Process Automation Devices – PA-DIM</x:v>
      </x:c>
      <x:c r="D11" s="313" t="str">
        <x:v>OPC Foundation and FieldComm Group</x:v>
      </x:c>
      <x:c r="E11" s="313" t="str">
        <x:v>1.02.0; OPC 30081</x:v>
      </x:c>
      <x:c r="F11" s="313" t="str">
        <x:v>2025-11-26</x:v>
      </x:c>
      <x:c r="G11" s="313" t="str">
        <x:v>Normative text—selected clauses</x:v>
      </x:c>
      <x:c r="H11" s="313" t="str">
        <x:v>§1; §7.2 and Table 109; release catalog</x:v>
      </x:c>
      <x:c r="I11" s="313" t="str">
        <x:v>Process-automation device information model</x:v>
      </x:c>
      <x:c r="J11" s="313" t="str">
        <x:v>Conditional process-device / PA-DIM partner comparator</x:v>
      </x:c>
      <x:c r="K11" s="313" t="str">
        <x:v>https://reference.opcfoundation.org/specs/OPC-30081</x:v>
      </x:c>
      <x:c r="L11" s="314" t="str">
        <x:v>2026-10-12</x:v>
      </x:c>
      <x:c r="M11" s="313" t="str">
        <x:v>Inspected clause pages: https://reference.opcfoundation.org/specs/OPC-30081/1 and /7.2; catalog displayed 1.02.0.</x:v>
      </x:c>
      <x:c r="N11" s="313" t="str">
        <x:v>Yes</x:v>
      </x:c>
    </x:row>
    <x:row r="12" ht="74" hidden="0" customHeight="1">
      <x:c r="A12" s="309" t="str">
        <x:v>S07</x:v>
      </x:c>
      <x:c r="B12" s="310" t="str">
        <x:v>Asset Administration Shell</x:v>
      </x:c>
      <x:c r="C12" s="310" t="str">
        <x:v>Specification of the Asset Administration Shell – Part 1: Metamodel</x:v>
      </x:c>
      <x:c r="D12" s="310" t="str">
        <x:v>Industrial Digital Twin Association</x:v>
      </x:c>
      <x:c r="E12" s="310" t="str">
        <x:v>3.2; IDTA 01001-3-2</x:v>
      </x:c>
      <x:c r="F12" s="310" t="str">
        <x:v>2026-07</x:v>
      </x:c>
      <x:c r="G12" s="310" t="str">
        <x:v>Normative text—selected clauses</x:v>
      </x:c>
      <x:c r="H12" s="310" t="str">
        <x:v>Version information; Core metamodel: Submodel, AssetInformation, semanticId recommendations  •  Normative text—selected clauses  •  12 October 2026</x:v>
      </x:c>
      <x:c r="I12" s="310" t="str">
        <x:v>Asset representation metamodel and aspect/submodel organization</x:v>
      </x:c>
      <x:c r="J12" s="310" t="str">
        <x:v>Metamodel context; specific templates assessed in S36–S39</x:v>
      </x:c>
      <x:c r="K12" s="310" t="str">
        <x:v>https://industrialdigitaltwin.io/aas-specifications/IDTA-01001/v3.2/index.html</x:v>
      </x:c>
      <x:c r="L12" s="311" t="str">
        <x:v>2026-10-12</x:v>
      </x:c>
      <x:c r="M12" s="310" t="str">
        <x:v>Core inspected at https://industrialdigitaltwin.io/aas-specifications/IDTA-01001/v3.2/spec-metamodel/core.html. DOI: https://doi.org/10.62628/IDTA.01001-3-2.</x:v>
      </x:c>
      <x:c r="N12" s="310" t="str">
        <x:v>Yes</x:v>
      </x:c>
    </x:row>
    <x:row r="13" ht="74" hidden="0" customHeight="1">
      <x:c r="A13" s="312" t="str">
        <x:v>S08</x:v>
      </x:c>
      <x:c r="B13" s="313" t="str">
        <x:v>IETF management models</x:v>
      </x:c>
      <x:c r="C13" s="313" t="str">
        <x:v>A YANG Data Model for Hardware Management</x:v>
      </x:c>
      <x:c r="D13" s="313" t="str">
        <x:v>Internet Engineering Task Force</x:v>
      </x:c>
      <x:c r="E13" s="313" t="str">
        <x:v>RFC 8348</x:v>
      </x:c>
      <x:c r="F13" s="313" t="str">
        <x:v>2018-03</x:v>
      </x:c>
      <x:c r="G13" s="313" t="str">
        <x:v>Normative text—selected clauses</x:v>
      </x:c>
      <x:c r="H13" s="313" t="str">
        <x:v>§§2–4 and 7.1; named component/class model; configuration/operational distinctions</x:v>
      </x:c>
      <x:c r="I13" s="313" t="str">
        <x:v>Hardware inventory, component identity, and state model</x:v>
      </x:c>
      <x:c r="J13" s="313" t="str">
        <x:v>Hardware-management content comparator within the broader family</x:v>
      </x:c>
      <x:c r="K13" s="313" t="str">
        <x:v>https://www.rfc-editor.org/rfc/rfc8348.html</x:v>
      </x:c>
      <x:c r="L13" s="314" t="str">
        <x:v>2026-10-12</x:v>
      </x:c>
      <x:c r="M13" s="313" t="str">
        <x:v>—</x:v>
      </x:c>
      <x:c r="N13" s="313" t="str">
        <x:v>Yes</x:v>
      </x:c>
    </x:row>
    <x:row r="14" ht="74" hidden="0" customHeight="1">
      <x:c r="A14" s="309" t="str">
        <x:v>S09</x:v>
      </x:c>
      <x:c r="B14" s="310" t="str">
        <x:v>IETF management models</x:v>
      </x:c>
      <x:c r="C14" s="310" t="str">
        <x:v>Definition of Managed Objects for Battery Monitoring</x:v>
      </x:c>
      <x:c r="D14" s="310" t="str">
        <x:v>Internet Engineering Task Force</x:v>
      </x:c>
      <x:c r="E14" s="310" t="str">
        <x:v>RFC 7577</x:v>
      </x:c>
      <x:c r="F14" s="310" t="str">
        <x:v>2015-07</x:v>
      </x:c>
      <x:c r="G14" s="310" t="str">
        <x:v>Normative text—selected clauses</x:v>
      </x:c>
      <x:c r="H14" s="310" t="str">
        <x:v>§3; §4 BATTERY-MIB, selected capacity and charging-state objects</x:v>
      </x:c>
      <x:c r="I14" s="310" t="str">
        <x:v>Battery-specific quantities and management states</x:v>
      </x:c>
      <x:c r="J14" s="310" t="str">
        <x:v>Selected battery semantic donor; one field-conversion example applied, not native BATTERY-MIB implementation.</x:v>
      </x:c>
      <x:c r="K14" s="310" t="str">
        <x:v>https://www.rfc-editor.org/rfc/rfc7577.html</x:v>
      </x:c>
      <x:c r="L14" s="311" t="str">
        <x:v>2026-10-12</x:v>
      </x:c>
      <x:c r="M14" s="310" t="str">
        <x:v>— | 17 Oct update: RFC 7577 §5 batteryActualVoltage: millivolts and 0xFFFFFFFF undetermined; v0.3.5 auxiliary example.</x:v>
      </x:c>
      <x:c r="N14" s="310" t="str">
        <x:v>Yes</x:v>
      </x:c>
    </x:row>
    <x:row r="15" ht="74" hidden="0" customHeight="1">
      <x:c r="A15" s="312" t="str">
        <x:v>S10</x:v>
      </x:c>
      <x:c r="B15" s="313" t="str">
        <x:v>IETF management models</x:v>
      </x:c>
      <x:c r="C15" s="313" t="str">
        <x:v>Energy Management Framework</x:v>
      </x:c>
      <x:c r="D15" s="313" t="str">
        <x:v>Internet Engineering Task Force</x:v>
      </x:c>
      <x:c r="E15" s="313" t="str">
        <x:v>RFC 7326</x:v>
      </x:c>
      <x:c r="F15" s="313" t="str">
        <x:v>2014-09</x:v>
      </x:c>
      <x:c r="G15" s="313" t="str">
        <x:v>Informative framework</x:v>
      </x:c>
      <x:c r="H15" s="313" t="str">
        <x:v>§§6.6–6.6.4; §7; status header</x:v>
      </x:c>
      <x:c r="I15" s="313" t="str">
        <x:v>Energy-object relationships and model/encoding separation</x:v>
      </x:c>
      <x:c r="J15" s="313" t="str">
        <x:v>R16 typed powers/meters/aggregates applied in v0.3.2 as MERLIN-authored OGC binding.</x:v>
      </x:c>
      <x:c r="K15" s="313" t="str">
        <x:v>https://www.rfc-editor.org/rfc/rfc7326.html</x:v>
      </x:c>
      <x:c r="L15" s="314" t="str">
        <x:v>2026-10-12</x:v>
      </x:c>
      <x:c r="M15" s="313" t="str">
        <x:v>— | 17 Oct update: Detailed batteries/interfaces/charging and full operating-arrangement specialization remain open.</x:v>
      </x:c>
      <x:c r="N15" s="313" t="str">
        <x:v>Yes</x:v>
      </x:c>
    </x:row>
    <x:row r="16" ht="74" hidden="0" customHeight="1">
      <x:c r="A16" s="309" t="str">
        <x:v>S11</x:v>
      </x:c>
      <x:c r="B16" s="310" t="str">
        <x:v>W3C Web of Things</x:v>
      </x:c>
      <x:c r="C16" s="310" t="str">
        <x:v>Web of Things (WoT) Architecture 1.1</x:v>
      </x:c>
      <x:c r="D16" s="310" t="str">
        <x:v>World Wide Web Consortium</x:v>
      </x:c>
      <x:c r="E16" s="310" t="str">
        <x:v>1.1; W3C Recommendation</x:v>
      </x:c>
      <x:c r="F16" s="310" t="str">
        <x:v>2023-12-05</x:v>
      </x:c>
      <x:c r="G16" s="310" t="str">
        <x:v>Normative architecture—selected text</x:v>
      </x:c>
      <x:c r="H16" s="310" t="str">
        <x:v>§6.1.1.2; §§7.1–7.3; publication status</x:v>
      </x:c>
      <x:c r="I16" s="310" t="str">
        <x:v>Cross-platform interaction description architecture</x:v>
      </x:c>
      <x:c r="J16" s="310" t="str">
        <x:v>Architecture comparator; no additional WoT layer selected</x:v>
      </x:c>
      <x:c r="K16" s="310" t="str">
        <x:v>https://www.w3.org/TR/2023/REC-wot-architecture11-20231205/</x:v>
      </x:c>
      <x:c r="L16" s="311" t="str">
        <x:v>2026-10-12</x:v>
      </x:c>
      <x:c r="M16" s="310" t="str">
        <x:v>—</x:v>
      </x:c>
      <x:c r="N16" s="310" t="str">
        <x:v>Yes</x:v>
      </x:c>
    </x:row>
    <x:row r="17" ht="74" hidden="0" customHeight="1">
      <x:c r="A17" s="312" t="str">
        <x:v>S12</x:v>
      </x:c>
      <x:c r="B17" s="313" t="str">
        <x:v>SAREF and SOSA/SSN</x:v>
      </x:c>
      <x:c r="C17" s="313" t="str">
        <x:v>SAREF: The Smart Applications REFerence Ontology</x:v>
      </x:c>
      <x:c r="D17" s="313" t="str">
        <x:v>European Telecommunications Standards Institute</x:v>
      </x:c>
      <x:c r="E17" s="313" t="str">
        <x:v>Core 4.1.1</x:v>
      </x:c>
      <x:c r="F17" s="313" t="str">
        <x:v>2024-10-31</x:v>
      </x:c>
      <x:c r="G17" s="313" t="str">
        <x:v>Ontology text—selected definitions</x:v>
      </x:c>
      <x:c r="H17" s="313" t="str">
        <x:v>Properties of interest; property values; states; functions of interest</x:v>
      </x:c>
      <x:c r="I17" s="313" t="str">
        <x:v>Domain-extensible semantic model</x:v>
      </x:c>
      <x:c r="J17" s="313" t="str">
        <x:v>Targeted semantic comparator; no wholesale ontology adoption</x:v>
      </x:c>
      <x:c r="K17" s="313" t="str">
        <x:v>https://saref.etsi.org/core/v4.1.1/</x:v>
      </x:c>
      <x:c r="L17" s="314" t="str">
        <x:v>2026-10-12</x:v>
      </x:c>
      <x:c r="M17" s="313" t="str">
        <x:v>—</x:v>
      </x:c>
      <x:c r="N17" s="313" t="str">
        <x:v>Yes</x:v>
      </x:c>
    </x:row>
    <x:row r="18" ht="74" hidden="0" customHeight="1">
      <x:c r="A18" s="309" t="str">
        <x:v>S13</x:v>
      </x:c>
      <x:c r="B18" s="310" t="str">
        <x:v>SAREF and SOSA/SSN</x:v>
      </x:c>
      <x:c r="C18" s="310" t="str">
        <x:v>Semantic Sensor Network Ontology</x:v>
      </x:c>
      <x:c r="D18" s="310" t="str">
        <x:v>World Wide Web Consortium</x:v>
      </x:c>
      <x:c r="E18" s="310" t="str">
        <x:v>2017 Recommendation edition</x:v>
      </x:c>
      <x:c r="F18" s="310" t="str">
        <x:v>2017-10-19</x:v>
      </x:c>
      <x:c r="G18" s="310" t="str">
        <x:v>Normative ontology—selected text</x:v>
      </x:c>
      <x:c r="H18" s="310" t="str">
        <x:v>Abstract; status; modularization and principal ontology concepts</x:v>
      </x:c>
      <x:c r="I18" s="310" t="str">
        <x:v>Observation, system, procedure, and feature semantics</x:v>
      </x:c>
      <x:c r="J18" s="310" t="str">
        <x:v>OGC semantic foundation; pinned 2017 background</x:v>
      </x:c>
      <x:c r="K18" s="310" t="str">
        <x:v>https://www.w3.org/TR/2017/REC-vocab-ssn-20171019/</x:v>
      </x:c>
      <x:c r="L18" s="311" t="str">
        <x:v>2026-10-12</x:v>
      </x:c>
      <x:c r="M18" s="310" t="str">
        <x:v>—</x:v>
      </x:c>
      <x:c r="N18" s="310" t="str">
        <x:v>Yes</x:v>
      </x:c>
    </x:row>
    <x:row r="19" ht="74" hidden="0" customHeight="1">
      <x:c r="A19" s="312" t="str">
        <x:v>S14</x:v>
      </x:c>
      <x:c r="B19" s="313" t="str">
        <x:v>Quantity and unit vocabularies</x:v>
      </x:c>
      <x:c r="C19" s="313" t="str">
        <x:v>The Unified Code for Units of Measure</x:v>
      </x:c>
      <x:c r="D19" s="313" t="str">
        <x:v>Schadow, Gunther, and Clement J. McDonald</x:v>
      </x:c>
      <x:c r="E19" s="313" t="str">
        <x:v>2.2</x:v>
      </x:c>
      <x:c r="F19" s="313" t="str">
        <x:v>2024-06-17</x:v>
      </x:c>
      <x:c r="G19" s="313" t="str">
        <x:v>Technical specification—selected text</x:v>
      </x:c>
      <x:c r="H19" s="313" t="str">
        <x:v>Version header; scope, syntax and semantic organization</x:v>
      </x:c>
      <x:c r="I19" s="313" t="str">
        <x:v>Machine-readable unit codes</x:v>
      </x:c>
      <x:c r="J19" s="313" t="str">
        <x:v>Unit convention; exact OGC dependency retained</x:v>
      </x:c>
      <x:c r="K19" s="313" t="str">
        <x:v>https://ucum.org/ucum</x:v>
      </x:c>
      <x:c r="L19" s="314" t="str">
        <x:v>2026-10-12</x:v>
      </x:c>
      <x:c r="M19" s="313" t="str">
        <x:v>—</x:v>
      </x:c>
      <x:c r="N19" s="313" t="str">
        <x:v>Yes</x:v>
      </x:c>
    </x:row>
    <x:row r="20" ht="74" hidden="0" customHeight="1">
      <x:c r="A20" s="309" t="str">
        <x:v>S15</x:v>
      </x:c>
      <x:c r="B20" s="310" t="str">
        <x:v>Quantity and unit vocabularies</x:v>
      </x:c>
      <x:c r="C20" s="310" t="str">
        <x:v>Voltage</x:v>
      </x:c>
      <x:c r="D20" s="310" t="str">
        <x:v>QUDT.org</x:v>
      </x:c>
      <x:c r="E20" s="310" t="str">
        <x:v>Quantity-kind record; vocabulary 3.5.2 referenced</x:v>
      </x:c>
      <x:c r="F20" s="310" t="str">
        <x:v>n.d.; page generated 2026-09-22</x:v>
      </x:c>
      <x:c r="G20" s="310" t="str">
        <x:v>Vocabulary record—directly inspected</x:v>
      </x:c>
      <x:c r="H20" s="310" t="str">
        <x:v>Definition; applicable units; isDefinedBy; generated timestamp</x:v>
      </x:c>
      <x:c r="I20" s="310" t="str">
        <x:v>Electrical-potential-difference quantity kind</x:v>
      </x:c>
      <x:c r="J20" s="310" t="str">
        <x:v>Quantity-kind reference, not a device model</x:v>
      </x:c>
      <x:c r="K20" s="310" t="str">
        <x:v>https://qudt.org/vocab/quantitykind/Voltage</x:v>
      </x:c>
      <x:c r="L20" s="311" t="str">
        <x:v>2026-10-12</x:v>
      </x:c>
      <x:c r="M20" s="310" t="str">
        <x:v>—</x:v>
      </x:c>
      <x:c r="N20" s="310" t="str">
        <x:v>Yes</x:v>
      </x:c>
    </x:row>
    <x:row r="21" ht="75" hidden="0" customHeight="1">
      <x:c r="A21" s="312" t="str">
        <x:v>S16</x:v>
      </x:c>
      <x:c r="B21" s="313" t="str">
        <x:v>MIMOSA</x:v>
      </x:c>
      <x:c r="C21" s="313" t="str">
        <x:v>MIMOSA OSA-EAI</x:v>
      </x:c>
      <x:c r="D21" s="313" t="str">
        <x:v>MIMOSA</x:v>
      </x:c>
      <x:c r="E21" s="313" t="str">
        <x:v>Overview; exact 3.2.3a package not inspected</x:v>
      </x:c>
      <x:c r="F21" s="313" t="str">
        <x:v>n.d.</x:v>
      </x:c>
      <x:c r="G21" s="313" t="str">
        <x:v>Official overview + exact release notes; ZIP contents not inspected</x:v>
      </x:c>
      <x:c r="H21" s="313" t="str">
        <x:v>Official overview, architecture components and intended information exchanges  •  Official overview only  •  12 October 2026; exact release page recovered; ZIP contents unavailable; S35 provides separately identified detailed CCOM evidence</x:v>
      </x:c>
      <x:c r="I21" s="313" t="str">
        <x:v>Asset/condition/maintenance enterprise integration</x:v>
      </x:c>
      <x:c r="J21" s="313" t="str">
        <x:v>Whole-system lifecycle content comparator; exact edition remains unresolved</x:v>
      </x:c>
      <x:c r="K21" s="313" t="str">
        <x:v>https://www.mimosa.org/mimosa-osa-eai/</x:v>
      </x:c>
      <x:c r="L21" s="314" t="str">
        <x:v>2026-10-12</x:v>
      </x:c>
      <x:c r="M21" s="313" t="str">
        <x:v>Detailed CCOM evidence is the separate S35 RC1 artifact, not a backdated OSA-EAI/CBM requirement.</x:v>
      </x:c>
      <x:c r="N21" s="313" t="str">
        <x:v>Yes</x:v>
      </x:c>
    </x:row>
    <x:row r="22" ht="75" hidden="0" customHeight="1">
      <x:c r="A22" s="309" t="str">
        <x:v>S17</x:v>
      </x:c>
      <x:c r="B22" s="310" t="str">
        <x:v>MIMOSA</x:v>
      </x:c>
      <x:c r="C22" s="310" t="str">
        <x:v>MIMOSA OSA-CBM</x:v>
      </x:c>
      <x:c r="D22" s="310" t="str">
        <x:v>MIMOSA</x:v>
      </x:c>
      <x:c r="E22" s="310" t="str">
        <x:v>Overview; exact v3.3.1 package not inspected</x:v>
      </x:c>
      <x:c r="F22" s="310" t="str">
        <x:v>n.d.</x:v>
      </x:c>
      <x:c r="G22" s="310" t="str">
        <x:v>Official overview + exact release notes; ZIP contents not inspected</x:v>
      </x:c>
      <x:c r="H22" s="310" t="str">
        <x:v>Official overview; functional-block and interface discussion  •  Official overview only  •  12 October 2026; exact release page recovered; ZIP contents unavailable; S35 provides separately identified detailed CCOM evidence</x:v>
      </x:c>
      <x:c r="I22" s="310" t="str">
        <x:v>Condition-based maintenance processing architecture</x:v>
      </x:c>
      <x:c r="J22" s="310" t="str">
        <x:v>Conditional assessment/maintenance exchange candidate</x:v>
      </x:c>
      <x:c r="K22" s="310" t="str">
        <x:v>https://www.mimosa.org/mimosa-osa-cbm/</x:v>
      </x:c>
      <x:c r="L22" s="311" t="str">
        <x:v>2026-10-12</x:v>
      </x:c>
      <x:c r="M22" s="310" t="str">
        <x:v>Detailed CCOM evidence is the separate S35 RC1 artifact, not a backdated OSA-EAI/CBM requirement.</x:v>
      </x:c>
      <x:c r="N22" s="310" t="str">
        <x:v>Yes</x:v>
      </x:c>
    </x:row>
    <x:row r="23" ht="74" hidden="0" customHeight="1">
      <x:c r="A23" s="312" t="str">
        <x:v>S18</x:v>
      </x:c>
      <x:c r="B23" s="313" t="str">
        <x:v>MIMOSA</x:v>
      </x:c>
      <x:c r="C23" s="313" t="str">
        <x:v>OIIE Scenario 11 – Publish Asset Removal/Installation Events from MMS to O&amp;M</x:v>
      </x:c>
      <x:c r="D23" s="313" t="str">
        <x:v>MIMOSA</x:v>
      </x:c>
      <x:c r="E23" s="313" t="str">
        <x:v>Scenario web publication; undated</x:v>
      </x:c>
      <x:c r="F23" s="313" t="str">
        <x:v>n.d.</x:v>
      </x:c>
      <x:c r="G23" s="313" t="str">
        <x:v>Published scenario—directly inspected</x:v>
      </x:c>
      <x:c r="H23" s="313" t="str">
        <x:v>Scenario purpose; minimum information; message and exchange requirements</x:v>
      </x:c>
      <x:c r="I23" s="313" t="str">
        <x:v>Asset installation/removal workflow and exchange pattern</x:v>
      </x:c>
      <x:c r="J23" s="313" t="str">
        <x:v>Installation/removal pattern; no native OIIE exchange selected</x:v>
      </x:c>
      <x:c r="K23" s="313" t="str">
        <x:v>https://www.mimosa.org/open-industrial-interoperability-ecosystem-oiie/oiie-use-cases/oiie-scenario-11-publish-asset-removalinstallation-events-from-mms-to-om/</x:v>
      </x:c>
      <x:c r="L23" s="314" t="str">
        <x:v>2026-10-12</x:v>
      </x:c>
      <x:c r="M23" s="313" t="str">
        <x:v>—</x:v>
      </x:c>
      <x:c r="N23" s="313" t="str">
        <x:v>Yes</x:v>
      </x:c>
    </x:row>
    <x:row r="24" ht="74" hidden="0" customHeight="1">
      <x:c r="A24" s="309" t="str">
        <x:v>S19</x:v>
      </x:c>
      <x:c r="B24" s="310" t="str">
        <x:v>MIP operational models</x:v>
      </x:c>
      <x:c r="C24" s="310" t="str">
        <x:v>MIP Information Model 4.0 – Semantic Interoperability in Multinational Missions</x:v>
      </x:c>
      <x:c r="D24" s="310" t="str">
        <x:v>Gerz, Michael, and Nico Bau</x:v>
      </x:c>
      <x:c r="E24" s="310" t="str">
        <x:v>Conference paper; MIM 4.0/4.0.1 context</x:v>
      </x:c>
      <x:c r="F24" s="310" t="str">
        <x:v>2016-09</x:v>
      </x:c>
      <x:c r="G24" s="310" t="str">
        <x:v>Primary research / implementation description</x:v>
      </x:c>
      <x:c r="H24" s="310" t="str">
        <x:v>§§1–2; §3.3; §4.3; figures 1 and 7 visually inspected</x:v>
      </x:c>
      <x:c r="I24" s="310" t="str">
        <x:v>Military semantic reference and community-specific model derivation</x:v>
      </x:c>
      <x:c r="J24" s="310" t="str">
        <x:v>Separate operational-semantic lane; not an equipment parent</x:v>
      </x:c>
      <x:c r="K24" s="310" t="str">
        <x:v>https://dodccrp-testorg.squarespace.com/s/paper_51.pdf</x:v>
      </x:c>
      <x:c r="L24" s="311" t="str">
        <x:v>2026-10-12</x:v>
      </x:c>
      <x:c r="M24" s="310" t="str">
        <x:v>Paper presented at the 21st International Command and Control Research and Technology Symposium, London, September 6–8, 2016. Current portal inspected separately as S27.</x:v>
      </x:c>
      <x:c r="N24" s="310" t="str">
        <x:v>Yes</x:v>
      </x:c>
    </x:row>
    <x:row r="25" ht="74" hidden="0" customHeight="1">
      <x:c r="A25" s="312" t="str">
        <x:v>S20</x:v>
      </x:c>
      <x:c r="B25" s="313" t="str">
        <x:v>Marine SWE profiles</x:v>
      </x:c>
      <x:c r="C25" s="313" t="str">
        <x:v>Semantically Enhancing SensorML with Controlled Vocabularies in the Marine Domain</x:v>
      </x:c>
      <x:c r="D25" s="313" t="str">
        <x:v>Kokkinaki, Alexandra, Louise Darroch, Justin Buck, and Simon Jirka</x:v>
      </x:c>
      <x:c r="E25" s="313" t="str">
        <x:v>Conference paper; CEUR Workshop Proceedings 1762</x:v>
      </x:c>
      <x:c r="F25" s="313" t="str">
        <x:v>2016-12-19</x:v>
      </x:c>
      <x:c r="G25" s="313" t="str">
        <x:v>Primary research / historical implementation description</x:v>
      </x:c>
      <x:c r="H25" s="313" t="str">
        <x:v>Abstract; §III; §§IV–V; table 1 visually inspected; proceedings metadata</x:v>
      </x:c>
      <x:c r="I25" s="313" t="str">
        <x:v>Domain vocabulary governance within SensorML</x:v>
      </x:c>
      <x:c r="J25" s="313" t="str">
        <x:v>Historical evidence for coordinated OGC content</x:v>
      </x:c>
      <x:c r="K25" s="313" t="str">
        <x:v>https://ceur-ws.org/Vol-1762/Kokkinaki.pdf</x:v>
      </x:c>
      <x:c r="L25" s="314" t="str">
        <x:v>2026-10-12</x:v>
      </x:c>
      <x:c r="M25" s="313" t="str">
        <x:v>In Proceedings of the Geospatial Sensor Webs Conference 2016, edited by Simon Jirka, Christoph Stasch, and Ann Hitchcock. Proceedings index: https://ceur-ws.org/Vol-1762/.</x:v>
      </x:c>
      <x:c r="N25" s="313" t="str">
        <x:v>Yes</x:v>
      </x:c>
    </x:row>
    <x:row r="26" ht="74" hidden="0" customHeight="1">
      <x:c r="A26" s="309" t="str">
        <x:v>S21</x:v>
      </x:c>
      <x:c r="B26" s="310" t="str">
        <x:v>Marine SWE profiles</x:v>
      </x:c>
      <x:c r="C26" s="310" t="str">
        <x:v>Marine Profiles of the OGC Sensor Web Enablement Standards</x:v>
      </x:c>
      <x:c r="D26" s="310" t="str">
        <x:v>Kokkinaki, Alexandra, Simon Jirka, Robert Huber, Matthes Rieke, and Christian Autermann</x:v>
      </x:c>
      <x:c r="E26" s="310" t="str">
        <x:v>Community proposal; unversioned web documentation</x:v>
      </x:c>
      <x:c r="F26" s="310" t="str">
        <x:v>n.d.</x:v>
      </x:c>
      <x:c r="G26" s="310" t="str">
        <x:v>Community profile proposal—selected sections</x:v>
      </x:c>
      <x:c r="H26" s="310" t="str">
        <x:v>Community repository docs/02_SensorML.md, lines 1–190 and 440–790; blob 6eb1b4299057e1ded5ad71d60f43bee84173a81e  •  12 October 2026</x:v>
      </x:c>
      <x:c r="I26" s="310" t="str">
        <x:v>Concrete domain-profile documentation</x:v>
      </x:c>
      <x:c r="J26" s="310" t="str">
        <x:v>Priority OGC content-agreement precedent</x:v>
      </x:c>
      <x:c r="K26" s="310" t="str">
        <x:v>https://odip.github.io/MarineProfilesForSWE/</x:v>
      </x:c>
      <x:c r="L26" s="311" t="str">
        <x:v>2026-10-12</x:v>
      </x:c>
      <x:c r="M26" s="310" t="str">
        <x:v>Repository blob 6eb1b4299057e1ded5ad71d60f43bee84173a81e; docs/02_SensorML.md selected lines 1–190, 440–790.</x:v>
      </x:c>
      <x:c r="N26" s="310" t="str">
        <x:v>Yes</x:v>
      </x:c>
    </x:row>
    <x:row r="27" ht="74" hidden="0" customHeight="1">
      <x:c r="A27" s="312" t="str">
        <x:v>S22</x:v>
      </x:c>
      <x:c r="B27" s="313" t="str">
        <x:v>Profile documentation</x:v>
      </x:c>
      <x:c r="C27" s="313" t="str">
        <x:v>The Profiles Vocabulary</x:v>
      </x:c>
      <x:c r="D27" s="313" t="str">
        <x:v>World Wide Web Consortium</x:v>
      </x:c>
      <x:c r="E27" s="313" t="str">
        <x:v>Working Group Note</x:v>
      </x:c>
      <x:c r="F27" s="313" t="str">
        <x:v>2019-12-18</x:v>
      </x:c>
      <x:c r="G27" s="313" t="str">
        <x:v>Working Group Note—selected text</x:v>
      </x:c>
      <x:c r="H27" s="313" t="str">
        <x:v>Status; introduction; Profile and ResourceDescriptor concepts</x:v>
      </x:c>
      <x:c r="I27" s="313" t="str">
        <x:v>Profile documentation and artifact relationships</x:v>
      </x:c>
      <x:c r="J27" s="313" t="str">
        <x:v>Profile-documentation guidance</x:v>
      </x:c>
      <x:c r="K27" s="313" t="str">
        <x:v>https://www.w3.org/TR/2019/NOTE-dx-prof-20191218/</x:v>
      </x:c>
      <x:c r="L27" s="314" t="str">
        <x:v>2026-10-12</x:v>
      </x:c>
      <x:c r="M27" s="313" t="str">
        <x:v>—</x:v>
      </x:c>
      <x:c r="N27" s="313" t="str">
        <x:v>Yes</x:v>
      </x:c>
    </x:row>
    <x:row r="28" ht="74" hidden="0" customHeight="1">
      <x:c r="A28" s="309" t="str">
        <x:v>S23</x:v>
      </x:c>
      <x:c r="B28" s="310" t="str">
        <x:v>NATO/DISR evidence</x:v>
      </x:c>
      <x:c r="C28" s="310" t="str">
        <x:v>Data Strategy for the Alliance</x:v>
      </x:c>
      <x:c r="D28" s="310" t="str">
        <x:v>North Atlantic Treaty Organization</x:v>
      </x:c>
      <x:c r="E28" s="310" t="str">
        <x:v>Official policy publication</x:v>
      </x:c>
      <x:c r="F28" s="310" t="str">
        <x:v>2025-05-05</x:v>
      </x:c>
      <x:c r="G28" s="310" t="str">
        <x:v>Official policy—directly inspected</x:v>
      </x:c>
      <x:c r="H28" s="310" t="str">
        <x:v>¶14 and surrounding strategy text</x:v>
      </x:c>
      <x:c r="I28" s="310" t="str">
        <x:v>Policy context for data and semantic interoperability</x:v>
      </x:c>
      <x:c r="J28" s="310" t="str">
        <x:v>Policy context, not implementation model</x:v>
      </x:c>
      <x:c r="K28" s="310" t="str">
        <x:v>https://www.nato.int/en/about-us/official-texts-and-resources/official-texts/2025/05/05/data-strategy-for-the-alliance</x:v>
      </x:c>
      <x:c r="L28" s="311" t="str">
        <x:v>2026-10-12</x:v>
      </x:c>
      <x:c r="M28" s="310" t="str">
        <x:v>—</x:v>
      </x:c>
      <x:c r="N28" s="310" t="str">
        <x:v>Yes</x:v>
      </x:c>
    </x:row>
    <x:row r="29" ht="74" hidden="0" customHeight="1">
      <x:c r="A29" s="312" t="str">
        <x:v>S24</x:v>
      </x:c>
      <x:c r="B29" s="313" t="str">
        <x:v>NATO/DISR evidence</x:v>
      </x:c>
      <x:c r="C29" s="313" t="str">
        <x:v>NATO Core Data Framework (NCDF): ADatP-5653 (Study), Edition A, Version 1</x:v>
      </x:c>
      <x:c r="D29" s="313" t="str">
        <x:v>Not established; title-led citation</x:v>
      </x:c>
      <x:c r="E29" s="313" t="str">
        <x:v>Historical catalog record; version-15 history</x:v>
      </x:c>
      <x:c r="F29" s="313" t="str">
        <x:v>n.d.; page last updated 2024-04-12</x:v>
      </x:c>
      <x:c r="G29" s="313" t="str">
        <x:v>Historical catalog evidence only</x:v>
      </x:c>
      <x:c r="H29" s="313" t="str">
        <x:v>Reference identity; history; last-updated and work-in-progress notices</x:v>
      </x:c>
      <x:c r="I29" s="313" t="str">
        <x:v>Identifier recovery and adoption-status caution</x:v>
      </x:c>
      <x:c r="J29" s="313" t="str">
        <x:v>Historical publication lead</x:v>
      </x:c>
      <x:c r="K29" s="313" t="str">
        <x:v>https://nisp.nw3.dk/standard/nato-adatp5653-ed.a-v1.html</x:v>
      </x:c>
      <x:c r="L29" s="314" t="str">
        <x:v>2026-10-12</x:v>
      </x:c>
      <x:c r="M29" s="313" t="str">
        <x:v>—</x:v>
      </x:c>
      <x:c r="N29" s="313" t="str">
        <x:v>Yes</x:v>
      </x:c>
    </x:row>
    <x:row r="30" ht="74" hidden="0" customHeight="1">
      <x:c r="A30" s="309" t="str">
        <x:v>S25</x:v>
      </x:c>
      <x:c r="B30" s="310" t="str">
        <x:v>NATO/DISR evidence</x:v>
      </x:c>
      <x:c r="C30" s="310" t="str">
        <x:v>StandardsReport_20261010T134742.352 GMT.xlsx(1).csv</x:v>
      </x:c>
      <x:c r="D30" s="310" t="str">
        <x:v>Not established; title-led citation</x:v>
      </x:c>
      <x:c r="E30" s="310" t="str">
        <x:v>User-supplied export; baseline designation unverified</x:v>
      </x:c>
      <x:c r="F30" s="310" t="str">
        <x:v>2026-10-10 (filename timestamp)</x:v>
      </x:c>
      <x:c r="G30" s="310" t="str">
        <x:v>Authoritative current DISR baseline</x:v>
      </x:c>
      <x:c r="H30" s="310" t="str">
        <x:v>Exact records and successful full-export identifier/alias checks</x:v>
      </x:c>
      <x:c r="I30" s="310" t="str">
        <x:v>Edition-specific DoD and IC adoption evidence</x:v>
      </x:c>
      <x:c r="J30" s="310" t="str">
        <x:v>Authoritative complete DISR baseline; completed SOSA metadata screen incorporated as research evidence.</x:v>
      </x:c>
      <x:c r="K30" s="310" t="str">
        <x:v>Project source L7; no public URL</x:v>
      </x:c>
      <x:c r="L30" s="311" t="str">
        <x:v>2026-10-12</x:v>
      </x:c>
      <x:c r="M30" s="310" t="str">
        <x:v>Complete current baseline by owner direction; no live verification prerequisite | 17 Oct update: 5,253 rows; 29 shortlist entries; 137 independent QA sample rows pending. Recovered CSV hash recorded; no registry change.</x:v>
      </x:c>
      <x:c r="N30" s="310" t="str">
        <x:v>Yes</x:v>
      </x:c>
    </x:row>
    <x:row r="31" ht="74" hidden="0" customHeight="1">
      <x:c r="A31" s="312" t="str">
        <x:v>S26</x:v>
      </x:c>
      <x:c r="B31" s="313" t="str">
        <x:v>MIP operational models</x:v>
      </x:c>
      <x:c r="C31" s="313" t="str">
        <x:v>Multilateral Interoperability Programme</x:v>
      </x:c>
      <x:c r="D31" s="313" t="str">
        <x:v>Systematic</x:v>
      </x:c>
      <x:c r="E31" s="313" t="str">
        <x:v>Vendor explanation; undated web page</x:v>
      </x:c>
      <x:c r="F31" s="313" t="str">
        <x:v>n.d.</x:v>
      </x:c>
      <x:c r="G31" s="313" t="str">
        <x:v>Vendor-authored explanation</x:v>
      </x:c>
      <x:c r="H31" s="313" t="str">
        <x:v>MIP 4 section; small-interface and model-derivation description</x:v>
      </x:c>
      <x:c r="I31" s="313" t="str">
        <x:v>Commercial implementation perspective</x:v>
      </x:c>
      <x:c r="J31" s="313" t="str">
        <x:v>Vendor implementation perspective</x:v>
      </x:c>
      <x:c r="K31" s="313" t="str">
        <x:v>https://systematic.com/int/industries/defence/products/domains/interoperability/mip/</x:v>
      </x:c>
      <x:c r="L31" s="314" t="str">
        <x:v>2026-10-12</x:v>
      </x:c>
      <x:c r="M31" s="313" t="str">
        <x:v>—</x:v>
      </x:c>
      <x:c r="N31" s="313" t="str">
        <x:v>Yes</x:v>
      </x:c>
    </x:row>
    <x:row r="32" ht="74" hidden="0" customHeight="1">
      <x:c r="A32" s="309" t="str">
        <x:v>S27</x:v>
      </x:c>
      <x:c r="B32" s="310" t="str">
        <x:v>MIP operational models</x:v>
      </x:c>
      <x:c r="C32" s="310" t="str">
        <x:v>Welcome to MIM World!</x:v>
      </x:c>
      <x:c r="D32" s="310" t="str">
        <x:v>Multilateral Interoperability Programme</x:v>
      </x:c>
      <x:c r="E32" s="310" t="str">
        <x:v>Current portal landing page; exact model release not inspected</x:v>
      </x:c>
      <x:c r="F32" s="310" t="str">
        <x:v>n.d.</x:v>
      </x:c>
      <x:c r="G32" s="310" t="str">
        <x:v>Official portal metadata</x:v>
      </x:c>
      <x:c r="H32" s="310" t="str">
        <x:v>Landing-page descriptions of model, documentation, tools, and IES access</x:v>
      </x:c>
      <x:c r="I32" s="310" t="str">
        <x:v>Model/tool discovery</x:v>
      </x:c>
      <x:c r="J32" s="310" t="str">
        <x:v>Authoritative model-recovery portal</x:v>
      </x:c>
      <x:c r="K32" s="310" t="str">
        <x:v>https://www.mimworld.org/portal/projects/welcome/wiki/Welcome</x:v>
      </x:c>
      <x:c r="L32" s="311" t="str">
        <x:v>2026-10-12</x:v>
      </x:c>
      <x:c r="M32" s="310" t="str">
        <x:v>—</x:v>
      </x:c>
      <x:c r="N32" s="310" t="str">
        <x:v>Yes</x:v>
      </x:c>
    </x:row>
    <x:row r="33" ht="74" hidden="0" customHeight="1">
      <x:c r="A33" s="312" t="str">
        <x:v>S28</x:v>
      </x:c>
      <x:c r="B33" s="313" t="str">
        <x:v>Conformance / governance</x:v>
      </x:c>
      <x:c r="C33" s="313" t="str">
        <x:v>The Specification Model—A Standard for Modular Specifications</x:v>
      </x:c>
      <x:c r="D33" s="313" t="str">
        <x:v>Open Geospatial Consortium (2009b)</x:v>
      </x:c>
      <x:c r="E33" s="313" t="str">
        <x:v>1.0.0; OGC 08-131r3</x:v>
      </x:c>
      <x:c r="F33" s="313" t="str">
        <x:v>2009-10-19</x:v>
      </x:c>
      <x:c r="G33" s="313" t="str">
        <x:v>Normative policy standard—selected clauses</x:v>
      </x:c>
      <x:c r="H33" s="313" t="str">
        <x:v>§4.16; §§6.4–6.5; requirements 12,18,19,23–26</x:v>
      </x:c>
      <x:c r="I33" s="313" t="str">
        <x:v>OGC ModSpec: disciplined profiles and extensions</x:v>
      </x:c>
      <x:c r="J33" s="313" t="str">
        <x:v>Supporting specification method</x:v>
      </x:c>
      <x:c r="K33" s="313" t="str">
        <x:v>https://docs.ogc.org/pol/08-131r3/08-131r3.pdf</x:v>
      </x:c>
      <x:c r="L33" s="314" t="n">
        <x:v>46307</x:v>
      </x:c>
      <x:c r="M33" s="313" t="str">
        <x:v>Added v0.2; inspection limits retained in annotation</x:v>
      </x:c>
      <x:c r="N33" s="313" t="str">
        <x:v>Yes</x:v>
      </x:c>
    </x:row>
    <x:row r="34" ht="74" hidden="0" customHeight="1">
      <x:c r="A34" s="309" t="str">
        <x:v>S29</x:v>
      </x:c>
      <x:c r="B34" s="310" t="str">
        <x:v>Conformance / governance</x:v>
      </x:c>
      <x:c r="C34" s="310" t="str">
        <x:v>DoD Information Technology Standards Registry (DISR)</x:v>
      </x:c>
      <x:c r="D34" s="310" t="str">
        <x:v>Defense Logistics Agency</x:v>
      </x:c>
      <x:c r="E34" s="310" t="str">
        <x:v>Defense Standardization Program public guidance</x:v>
      </x:c>
      <x:c r="F34" s="310" t="str">
        <x:v>n.d.</x:v>
      </x:c>
      <x:c r="G34" s="310" t="str">
        <x:v>Official public guidance—search-index excerpts only</x:v>
      </x:c>
      <x:c r="H34" s="310" t="str">
        <x:v>Indexed status definitions; full page returned403</x:v>
      </x:c>
      <x:c r="I34" s="310" t="str">
        <x:v>DISR public guidance: status interpretation</x:v>
      </x:c>
      <x:c r="J34" s="310" t="str">
        <x:v>Adoption guidance</x:v>
      </x:c>
      <x:c r="K34" s="310" t="str">
        <x:v>https://www.dsp.dla.mil/specs-standards/list-of-disr-documents/</x:v>
      </x:c>
      <x:c r="L34" s="311" t="n">
        <x:v>46307</x:v>
      </x:c>
      <x:c r="M34" s="310" t="str">
        <x:v>Added v0.2; inspection limits retained in annotation</x:v>
      </x:c>
      <x:c r="N34" s="310" t="str">
        <x:v>Yes</x:v>
      </x:c>
    </x:row>
    <x:row r="35" ht="74" hidden="0" customHeight="1">
      <x:c r="A35" s="312" t="str">
        <x:v>S30</x:v>
      </x:c>
      <x:c r="B35" s="313" t="str">
        <x:v>Conformance / governance</x:v>
      </x:c>
      <x:c r="C35" s="313" t="str">
        <x:v>Information Technology Standards in the DoD</x:v>
      </x:c>
      <x:c r="D35" s="313" t="str">
        <x:v>Department of Defense</x:v>
      </x:c>
      <x:c r="E35" s="313" t="str">
        <x:v>DoD Instruction8310.01, April7</x:v>
      </x:c>
      <x:c r="F35" s="313" t="str">
        <x:v>2023-04-07</x:v>
      </x:c>
      <x:c r="G35" s="313" t="str">
        <x:v>Official issuance identified—full text not recovered</x:v>
      </x:c>
      <x:c r="H35" s="313" t="str">
        <x:v>Official issuance index and search metadata; PDF access403</x:v>
      </x:c>
      <x:c r="I35" s="313" t="str">
        <x:v>DoDI8310.01: governing policy recovery boundary</x:v>
      </x:c>
      <x:c r="J35" s="313" t="str">
        <x:v>Governing policy recovery boundary</x:v>
      </x:c>
      <x:c r="K35" s="313" t="str">
        <x:v>https://www.esd.whs.mil/portals/54/documents/dd/issuances/dodi/831001p.pdf</x:v>
      </x:c>
      <x:c r="L35" s="314" t="n">
        <x:v>46307</x:v>
      </x:c>
      <x:c r="M35" s="313" t="str">
        <x:v>Added v0.2; inspection limits retained in annotation</x:v>
      </x:c>
      <x:c r="N35" s="313" t="str">
        <x:v>Yes</x:v>
      </x:c>
    </x:row>
    <x:row r="36" ht="74" hidden="0" customHeight="1">
      <x:c r="A36" s="309" t="str">
        <x:v>S31</x:v>
      </x:c>
      <x:c r="B36" s="310" t="str">
        <x:v>Conformance / governance</x:v>
      </x:c>
      <x:c r="C36" s="310" t="str">
        <x:v>NATO Interoperability Standards and Profiles. Volume 1: Introduction and Management</x:v>
      </x:c>
      <x:c r="D36" s="310" t="str">
        <x:v>North Atlantic Treaty Organization</x:v>
      </x:c>
      <x:c r="E36" s="310" t="str">
        <x:v>NISP15; ADatP-34 EditionN Version2</x:v>
      </x:c>
      <x:c r="F36" s="310" t="str">
        <x:v>2023-08-18</x:v>
      </x:c>
      <x:c r="G36" s="310" t="str">
        <x:v>Historical official NATO publication—selected clauses</x:v>
      </x:c>
      <x:c r="H36" s="310" t="str">
        <x:v>Chapter1; Chapter5¶¶41–55; AppendixA¶¶65–67</x:v>
      </x:c>
      <x:c r="I36" s="310" t="str">
        <x:v>NISP15 Volume 1: community profile and change rules</x:v>
      </x:c>
      <x:c r="J36" s="310" t="str">
        <x:v>Historical NATO profiling method</x:v>
      </x:c>
      <x:c r="K36" s="310" t="str">
        <x:v>https://archive.nisp.nw3.dk/nisp-15.0/volume1/ch01.html</x:v>
      </x:c>
      <x:c r="L36" s="311" t="n">
        <x:v>46307</x:v>
      </x:c>
      <x:c r="M36" s="310" t="str">
        <x:v>Added v0.2; inspection limits retained in annotation</x:v>
      </x:c>
      <x:c r="N36" s="310" t="str">
        <x:v>Yes</x:v>
      </x:c>
    </x:row>
    <x:row r="37" ht="74" hidden="0" customHeight="1">
      <x:c r="A37" s="312" t="str">
        <x:v>S32</x:v>
      </x:c>
      <x:c r="B37" s="313" t="str">
        <x:v>Conformance / governance</x:v>
      </x:c>
      <x:c r="C37" s="313" t="str">
        <x:v>STANAG 4789 JCGISR (Edition 1) (Ratification Draft 1)—Sensor Integration Standard for NATO JISR Operations—AEP-4789, Edition A</x:v>
      </x:c>
      <x:c r="D37" s="313" t="str">
        <x:v>NATO Standardization Office</x:v>
      </x:c>
      <x:c r="E37" s="313" t="str">
        <x:v>NSO(NAFAG)0932(2026)JCGISR/4789, August28</x:v>
      </x:c>
      <x:c r="F37" s="313" t="str">
        <x:v>2026-08-28</x:v>
      </x:c>
      <x:c r="G37" s="313" t="str">
        <x:v>Supplied official NSO letter and ratification draft</x:v>
      </x:c>
      <x:c r="H37" s="313" t="str">
        <x:v>Cover letter; covering agreement “Interoperability Requirements”; no fresh AEPVolumeII text</x:v>
      </x:c>
      <x:c r="I37" s="313" t="str">
        <x:v>STANAG 4789: official ratification evidence</x:v>
      </x:c>
      <x:c r="J37" s="313" t="str">
        <x:v>Official 4789 ratification evidence</x:v>
      </x:c>
      <x:c r="K37" s="313"/>
      <x:c r="L37" s="314" t="n">
        <x:v>46307</x:v>
      </x:c>
      <x:c r="M37" s="313" t="str">
        <x:v>Added v0.2; inspection limits retained in annotation</x:v>
      </x:c>
      <x:c r="N37" s="313" t="str">
        <x:v>Yes</x:v>
      </x:c>
    </x:row>
    <x:row r="38" ht="74" hidden="0" customHeight="1">
      <x:c r="A38" s="309" t="str">
        <x:v>S33</x:v>
      </x:c>
      <x:c r="B38" s="310" t="str">
        <x:v>Composition, profiling and implementation experience</x:v>
      </x:c>
      <x:c r="C38" s="310" t="str">
        <x:v>OWS-6 SensorML Profile for Discovery Engineering Report</x:v>
      </x:c>
      <x:c r="D38" s="310" t="str">
        <x:v>Open Geospatial Consortium</x:v>
      </x:c>
      <x:c r="E38" s="310" t="str">
        <x:v>0.3.0; OGC 09-033</x:v>
      </x:c>
      <x:c r="F38" s="310" t="str">
        <x:v>2009-07-29</x:v>
      </x:c>
      <x:c r="G38" s="310" t="str">
        <x:v>Historical Engineering Report</x:v>
      </x:c>
      <x:c r="H38" s="310" t="str">
        <x:v>Cover and preface; §§1–3, 6–7; Listings 7-4 and 7-5, printed p.14, visually checked; isolated predicates evaluated on synthetic fragments • Engineering Report, not an adopted standard • 12 October 2026</x:v>
      </x:c>
      <x:c r="I38" s="310" t="str">
        <x:v>Document profile and rule precedent</x:v>
      </x:c>
      <x:c r="J38" s="310" t="str">
        <x:v>Historical discovery-content precedent; tests not active</x:v>
      </x:c>
      <x:c r="K38" s="310" t="str">
        <x:v>https://docs.ogc.org/per/09-033/09-033.pdf</x:v>
      </x:c>
      <x:c r="L38" s="310" t="str">
        <x:v>2026-10-12</x:v>
      </x:c>
      <x:c r="M38" s="310" t="str">
        <x:v>No adopted SensorML 3.0 successor established in bounded search; not a modern implementation contract</x:v>
      </x:c>
      <x:c r="N38" s="310" t="str">
        <x:v>Yes</x:v>
      </x:c>
    </x:row>
    <x:row r="39" ht="74" hidden="0" customHeight="1">
      <x:c r="A39" s="312" t="str">
        <x:v>S34</x:v>
      </x:c>
      <x:c r="B39" s="313" t="str">
        <x:v>Composition, profiling and implementation experience</x:v>
      </x:c>
      <x:c r="C39" s="313" t="str">
        <x:v>Catalogue Services Specification 2.0 Extension Package for ebRIM Application Profile: SensorML</x:v>
      </x:c>
      <x:c r="D39" s="313" t="str">
        <x:v>Open Geospatial Consortium</x:v>
      </x:c>
      <x:c r="E39" s="313" t="str">
        <x:v>0.3.0; OGC 09-163r2</x:v>
      </x:c>
      <x:c r="F39" s="313" t="str">
        <x:v>2010-04-02</x:v>
      </x:c>
      <x:c r="G39" s="313" t="str">
        <x:v>Historical Discussion Paper</x:v>
      </x:c>
      <x:c r="H39" s="313" t="str">
        <x:v>Cover, preface, §§5, 12–13; Listings 12-7–12-8; Table 17 and footnote 6, printed pp.50–51, visually checked • Discussion Paper, not an adopted standard • 12 October 2026</x:v>
      </x:c>
      <x:c r="I39" s="313" t="str">
        <x:v>Input profile plus catalogue-model mapping</x:v>
      </x:c>
      <x:c r="J39" s="313" t="str">
        <x:v>Historical profile-to-catalogue mapping precedent</x:v>
      </x:c>
      <x:c r="K39" s="313" t="str">
        <x:v>https://docs.ogc.org/dp/09-163r2/09-163r2.pdf</x:v>
      </x:c>
      <x:c r="L39" s="313" t="str">
        <x:v>2026-10-12</x:v>
      </x:c>
      <x:c r="M39" s="313" t="str">
        <x:v>No adopted SensorML 3.0 successor established in bounded search; not a modern implementation contract</x:v>
      </x:c>
      <x:c r="N39" s="313" t="str">
        <x:v>Yes</x:v>
      </x:c>
    </x:row>
    <x:row r="40" ht="74" customHeight="1">
      <x:c r="A40" s="309" t="str">
        <x:v>S35</x:v>
      </x:c>
      <x:c r="B40" s="310" t="str">
        <x:v>Operational and lifecycle models</x:v>
      </x:c>
      <x:c r="C40" s="310" t="str">
        <x:v>CCOM UML Class Model</x:v>
      </x:c>
      <x:c r="D40" s="310" t="str">
        <x:v>MIMOSA</x:v>
      </x:c>
      <x:c r="E40" s="310" t="str">
        <x:v>4.1.0-RC1; model cover 4.1.0 Proposed</x:v>
      </x:c>
      <x:c r="F40" s="310" t="str">
        <x:v>Model generated 27 June 2018; RC1 listed 20 March 2020</x:v>
      </x:c>
      <x:c r="G40" s="310" t="str">
        <x:v>Detailed model diagrams inspected; release candidate, not the DISR-listed OSA-EAI edition</x:v>
      </x:c>
      <x:c r="H40" s="310" t="str">
        <x:v>Cover/status; UML pp. 6–8 and 27 visually inspected; official CCOM documentation: Reference Data, Data Exchange, Extensibility</x:v>
      </x:c>
      <x:c r="I40" s="310" t="str">
        <x:v>Asset/model/segment relationships, reusable attributes, configuration history and assessments</x:v>
      </x:c>
      <x:c r="J40" s="310" t="str">
        <x:v>Detailed lifecycle evidence; not the DISR-listed OSA-EAI edition</x:v>
      </x:c>
      <x:c r="K40" s="310" t="str">
        <x:v>https://www.mimosa.org/wp-content/uploads/specifications/2019/12/ccom-4-1-0-rc1/CCOM-UML-Class-Model-4.1.0-RC1.pdf</x:v>
      </x:c>
      <x:c r="L40" s="310" t="str">
        <x:v>2026-10-12</x:v>
      </x:c>
      <x:c r="M40" s="310" t="str">
        <x:v>New in v0.4; see full narrative and edition/rights distinctions in Word.</x:v>
      </x:c>
      <x:c r="N40" s="310" t="str">
        <x:v>Yes</x:v>
      </x:c>
    </x:row>
    <x:row r="41" ht="74" customHeight="1">
      <x:c r="A41" s="312" t="str">
        <x:v>S36</x:v>
      </x:c>
      <x:c r="B41" s="313" t="str">
        <x:v>Device and equipment models</x:v>
      </x:c>
      <x:c r="C41" s="313" t="str">
        <x:v>Generic Frame for Technical Data for Industrial Equipment in Manufacturing</x:v>
      </x:c>
      <x:c r="D41" s="313" t="str">
        <x:v>Industrial Digital Twin Association</x:v>
      </x:c>
      <x:c r="E41" s="313" t="str">
        <x:v>IDTA 02003, 2.0; separate repository artifact revision 2.0.2</x:v>
      </x:c>
      <x:c r="F41" s="313" t="str">
        <x:v>March 2025 PDF; repository README 24 September 2026</x:v>
      </x:c>
      <x:c r="G41" s="313" t="str">
        <x:v>Published template text and selected machine-readable structure; no instance execution</x:v>
      </x:c>
      <x:c r="H41" s="313" t="str">
        <x:v>§§1.1–1.3, 2.1–2.2, 3.1–3.2, 3.6, Annex C; p. 8 visual check; versioned repository README and first 250 lines of JSON template</x:v>
      </x:c>
      <x:c r="I41" s="313" t="str">
        <x:v>Common frame for product technical information and dictionary-based property areas</x:v>
      </x:c>
      <x:c r="J41" s="313" t="str">
        <x:v>Supporting design comparator; not selected as a second generic description model</x:v>
      </x:c>
      <x:c r="K41" s="313" t="str">
        <x:v>https://industrialdigitaltwin.org/en/wp-content/uploads/sites/2/2025/03/IDTA-02003_Generic-Frame-for-Technical-Data.pdf</x:v>
      </x:c>
      <x:c r="L41" s="313" t="str">
        <x:v>2026-10-12</x:v>
      </x:c>
      <x:c r="M41" s="313" t="str">
        <x:v>New in v0.4; see full narrative and edition/rights distinctions in Word.</x:v>
      </x:c>
      <x:c r="N41" s="313" t="str">
        <x:v>Yes</x:v>
      </x:c>
    </x:row>
    <x:row r="42" ht="74" customHeight="1">
      <x:c r="A42" s="309" t="str">
        <x:v>S37</x:v>
      </x:c>
      <x:c r="B42" s="310" t="str">
        <x:v>Device and equipment models</x:v>
      </x:c>
      <x:c r="C42" s="310" t="str">
        <x:v>Hierarchical Structures enabling Bills of Material</x:v>
      </x:c>
      <x:c r="D42" s="310" t="str">
        <x:v>Industrial Digital Twin Association</x:v>
      </x:c>
      <x:c r="E42" s="310" t="str">
        <x:v>IDTA 02011, version 1.1 (file identifier 02011-1-1)</x:v>
      </x:c>
      <x:c r="F42" s="310" t="str">
        <x:v>June 2024</x:v>
      </x:c>
      <x:c r="G42" s="310" t="str">
        <x:v>Published template, selected normative and design clauses</x:v>
      </x:c>
      <x:c r="H42" s="310" t="str">
        <x:v>§§1.2–1.5.1, 1.6, 2; pp. 9 and 13 hierarchy figures inspected</x:v>
      </x:c>
      <x:c r="I42" s="310" t="str">
        <x:v>Asset hierarchy, reference ownership and distributed/contained representation</x:v>
      </x:c>
      <x:c r="J42" s="310" t="str">
        <x:v>Conditional equipment comparator; generic hierarchy is insufficient reason for a new AAS layer</x:v>
      </x:c>
      <x:c r="K42" s="310" t="str">
        <x:v>https://industrialdigitaltwin.org/en/wp-content/uploads/sites/2/2024/06/IDTA-02011-1-1_Submodel_HierarchicalStructuresEnablingBoM.pdf</x:v>
      </x:c>
      <x:c r="L42" s="310" t="str">
        <x:v>2026-10-12</x:v>
      </x:c>
      <x:c r="M42" s="310" t="str">
        <x:v>New in v0.4; see full narrative and edition/rights distinctions in Word.</x:v>
      </x:c>
      <x:c r="N42" s="310" t="str">
        <x:v>Yes</x:v>
      </x:c>
    </x:row>
    <x:row r="43" ht="74" customHeight="1">
      <x:c r="A43" s="312" t="str">
        <x:v>S38</x:v>
      </x:c>
      <x:c r="B43" s="313" t="str">
        <x:v>Device and equipment models</x:v>
      </x:c>
      <x:c r="C43" s="313" t="str">
        <x:v>Hierarchical Structures enabling Bills of Material – Extension based on IEC 81346</x:v>
      </x:c>
      <x:c r="D43" s="313" t="str">
        <x:v>Industrial Digital Twin Association</x:v>
      </x:c>
      <x:c r="E43" s="313" t="str">
        <x:v>IDTA 02011-1, version 1.0; extension, not base version 1.1</x:v>
      </x:c>
      <x:c r="F43" s="313" t="str">
        <x:v>August 2025</x:v>
      </x:c>
      <x:c r="G43" s="313" t="str">
        <x:v>Published extension; underlying IEC publication not independently read</x:v>
      </x:c>
      <x:c r="H43" s="313" t="str">
        <x:v>§§1.1–1.3, 2.1–2.2, 2.3–2.5 selected definitions; p. 11 cross-aspect references visually inspected</x:v>
      </x:c>
      <x:c r="I43" s="313" t="str">
        <x:v>Separate function, product, location, type and other structural perspectives</x:v>
      </x:c>
      <x:c r="J43" s="313" t="str">
        <x:v>Targeted relationship reference; not a proposed universal mission hierarchy</x:v>
      </x:c>
      <x:c r="K43" s="313" t="str">
        <x:v>https://industrialdigitaltwin.org/en/wp-content/uploads/sites/2/2025/08/IDTA-02011-1-Hierarchical-Structures-enabling-Bills-of-Material_Extension-based-on-IEC-81346.pdf</x:v>
      </x:c>
      <x:c r="L43" s="313" t="str">
        <x:v>2026-10-12</x:v>
      </x:c>
      <x:c r="M43" s="313" t="str">
        <x:v>New in v0.4; see full narrative and edition/rights distinctions in Word.</x:v>
      </x:c>
      <x:c r="N43" s="313" t="str">
        <x:v>Yes</x:v>
      </x:c>
    </x:row>
    <x:row r="44" ht="74" customHeight="1">
      <x:c r="A44" s="309" t="str">
        <x:v>S39</x:v>
      </x:c>
      <x:c r="B44" s="310" t="str">
        <x:v>Device and equipment models</x:v>
      </x:c>
      <x:c r="C44" s="310" t="str">
        <x:v>Capability Description</x:v>
      </x:c>
      <x:c r="D44" s="310" t="str">
        <x:v>Industrial Digital Twin Association</x:v>
      </x:c>
      <x:c r="E44" s="310" t="str">
        <x:v>IDTA 02020, version 1.0</x:v>
      </x:c>
      <x:c r="F44" s="310" t="str">
        <x:v>15 April 2026</x:v>
      </x:c>
      <x:c r="G44" s="310" t="str">
        <x:v>Published template; actual required/offered role and realization structure inspected</x:v>
      </x:c>
      <x:c r="H44" s="310" t="str">
        <x:v>§§1.2–1.6, 1.8, 2.1–2.2 and selected relationships; pp. 17 and 19 visually inspected</x:v>
      </x:c>
      <x:c r="I44" s="310" t="str">
        <x:v>Required/offered capability matching, properties, constraints and skill relationships</x:v>
      </x:c>
      <x:c r="J44" s="310" t="str">
        <x:v>Conditional capability-planning candidate; not selected for ordinary resource description</x:v>
      </x:c>
      <x:c r="K44" s="310" t="str">
        <x:v>https://industrialdigitaltwin.org/en/wp-content/uploads/sites/2/2026/04/IDTA-02020_Submodel_Capability_Description.pdf</x:v>
      </x:c>
      <x:c r="L44" s="310" t="str">
        <x:v>2026-10-12</x:v>
      </x:c>
      <x:c r="M44" s="310" t="str">
        <x:v>New in v0.4; see full narrative and edition/rights distinctions in Word.</x:v>
      </x:c>
      <x:c r="N44" s="310" t="str">
        <x:v>Yes</x:v>
      </x:c>
    </x:row>
    <x:row r="45" ht="74" customHeight="1">
      <x:c r="A45" s="304" t="str">
        <x:v>S40</x:v>
      </x:c>
      <x:c r="B45" s="304" t="str">
        <x:v>Worked-case evidence</x:v>
      </x:c>
      <x:c r="C45" s="304" t="str">
        <x:v>Sentinel 1.0.7.2 Software Users Manual: selected ETU-II pages</x:v>
      </x:c>
      <x:c r="D45" s="304" t="str">
        <x:v>Title-led; issuing author not established in excerpts</x:v>
      </x:c>
      <x:c r="E45" s="304" t="str">
        <x:v>Sentinel 1.0.7.2; N65236-TRSS-SUM-0005-2.00</x:v>
      </x:c>
      <x:c r="F45" s="304" t="str">
        <x:v>n.d.; publication date not verified</x:v>
      </x:c>
      <x:c r="G45" s="304" t="str">
        <x:v>Manufacturer/system documentation—selected original pages</x:v>
      </x:c>
      <x:c r="H45" s="304" t="str">
        <x:v>Original screenshot pages inspected visually: slides 10–12; reader pages 175–177. No live payload, device state or full-manual inspection claimed. 12 October 2026.</x:v>
      </x:c>
      <x:c r="I45" s="304" t="str">
        <x:v>Source facts for documentary comparison</x:v>
      </x:c>
      <x:c r="J45" s="304" t="str">
        <x:v>TRSS reference case; not the profile’s data or lifecycle ceiling</x:v>
      </x:c>
      <x:c r="K45" s="304" t="str">
        <x:v>Library locator: libfile_cbd2e80dc0e081918022604ef8d45f2e; TRSS Details View Research.pptx, slides 10–12</x:v>
      </x:c>
      <x:c r="L45" s="304" t="str">
        <x:v>2026-10-12</x:v>
      </x:c>
      <x:c r="M45" s="304" t="str">
        <x:v>No live instance or native implementation claimed</x:v>
      </x:c>
      <x:c r="N45" s="304" t="str">
        <x:v>Yes</x:v>
      </x:c>
    </x:row>
    <x:row r="46" ht="74" customHeight="1">
      <x:c r="A46" s="304" t="str">
        <x:v>S41</x:v>
      </x:c>
      <x:c r="B46" s="304" t="str">
        <x:v>Worked-case evidence</x:v>
      </x:c>
      <x:c r="C46" s="304" t="str">
        <x:v>OmniSense CORE configuration and transducer reporting: selected manual pages</x:v>
      </x:c>
      <x:c r="D46" s="304" t="str">
        <x:v>McQ Inc.</x:v>
      </x:c>
      <x:c r="E46" s="304" t="str">
        <x:v>Selected CORE chapter; exact full-manual edition unverified</x:v>
      </x:c>
      <x:c r="F46" s="304" t="str">
        <x:v>n.d.; inspected pages carry copyright 2008</x:v>
      </x:c>
      <x:c r="G46" s="304" t="str">
        <x:v>Manufacturer/system documentation—selected original pages</x:v>
      </x:c>
      <x:c r="H46" s="304" t="str">
        <x:v>Original screenshot pages inspected visually: slides 1–7 / printed pp. 6-1–6-7; §6.1.6 and configuration/Queue explanations. 12 October 2026.</x:v>
      </x:c>
      <x:c r="I46" s="304" t="str">
        <x:v>Source facts for documentary comparison</x:v>
      </x:c>
      <x:c r="J46" s="304" t="str">
        <x:v>OmniSense reference case; not the profile’s data or lifecycle ceiling</x:v>
      </x:c>
      <x:c r="K46" s="304" t="str">
        <x:v>Library locator: libfile_7b30d4a27a44819194bef90e7c7aece4; SADU Details View Research.pptx, slides 1–7</x:v>
      </x:c>
      <x:c r="L46" s="304" t="str">
        <x:v>2026-10-12</x:v>
      </x:c>
      <x:c r="M46" s="304" t="str">
        <x:v>No live instance or native implementation claimed</x:v>
      </x:c>
      <x:c r="N46" s="304" t="str">
        <x:v>Yes</x:v>
      </x:c>
    </x:row>
    <x:row r="47" ht="74" customHeight="1">
      <x:c r="A47" s="304" t="str">
        <x:v>S42</x:v>
      </x:c>
      <x:c r="B47" s="304" t="str">
        <x:v>Worked-case evidence</x:v>
      </x:c>
      <x:c r="C47" s="304" t="str">
        <x:v>Bosch BME280: environmental-model contrast</x:v>
      </x:c>
      <x:c r="D47" s="304" t="str">
        <x:v>Bosch Sensortec</x:v>
      </x:c>
      <x:c r="E47" s="304" t="str">
        <x:v>Revision 1.24; BST-BME280-DS001-24</x:v>
      </x:c>
      <x:c r="F47" s="304" t="str">
        <x:v>2024-02</x:v>
      </x:c>
      <x:c r="G47" s="304" t="str">
        <x:v>Manufacturer/system documentation—selected original pages</x:v>
      </x:c>
      <x:c r="H47" s="304" t="str">
        <x:v>Cover, general description, §§3.3–3.4; cover and pp. 15, 17 visually checked. Cover revision 1.24 governs the citation; selected body footers retain a 1.23 mark. 12 October 2026.</x:v>
      </x:c>
      <x:c r="I47" s="304" t="str">
        <x:v>Source facts for documentary comparison</x:v>
      </x:c>
      <x:c r="J47" s="304" t="str">
        <x:v>Component/model contrast only; not representative of the whole employed system</x:v>
      </x:c>
      <x:c r="K47" s="304" t="str">
        <x:v>https://www.bosch-sensortec.com/media/boschsensortec/downloads/datasheets/bst-bme280-ds002.pdf</x:v>
      </x:c>
      <x:c r="L47" s="304" t="str">
        <x:v>2026-10-12</x:v>
      </x:c>
      <x:c r="M47" s="304" t="str">
        <x:v>No live instance or native implementation claimed</x:v>
      </x:c>
      <x:c r="N47" s="304" t="str">
        <x:v>Yes</x:v>
      </x:c>
    </x:row>
    <x:row r="48" ht="74" customHeight="1">
      <x:c r="A48" s="315" t="str">
        <x:v>S43</x:v>
      </x:c>
      <x:c r="B48" s="304" t="str">
        <x:v>Engineering lineage / family applicability</x:v>
      </x:c>
      <x:c r="C48" s="304" t="str">
        <x:v>Common command-and-control user interface for current force UGS</x:v>
      </x:c>
      <x:c r="D48" s="304" t="str">
        <x:v>Stolovy, Gary H.</x:v>
      </x:c>
      <x:c r="E48" s="304" t="str">
        <x:v>Proceedings of SPIE 7333, 73331C; DOI 10.1117/12.822186</x:v>
      </x:c>
      <x:c r="F48" s="304" t="str">
        <x:v>2009</x:v>
      </x:c>
      <x:c r="G48" s="304" t="str">
        <x:v>Record / abstract only</x:v>
      </x:c>
      <x:c r="H48" s="304" t="str">
        <x:v>Publisher record and indexed abstract; complete paper not retrieved.</x:v>
      </x:c>
      <x:c r="I48" s="304" t="str">
        <x:v>Historical cross-vendor UGS engineering lead</x:v>
      </x:c>
      <x:c r="J48" s="304" t="str">
        <x:v>Priority lineage source; abstract-level only</x:v>
      </x:c>
      <x:c r="K48" s="304" t="str">
        <x:v>https://doi.org/10.1117/12.822186</x:v>
      </x:c>
      <x:c r="L48" s="304" t="str">
        <x:v>2026-10-12</x:v>
      </x:c>
      <x:c r="M48" s="304" t="str">
        <x:v>See source entry for limits</x:v>
      </x:c>
      <x:c r="N48" s="304" t="str">
        <x:v>Yes</x:v>
      </x:c>
    </x:row>
    <x:row r="49" ht="74" customHeight="1">
      <x:c r="A49" s="315" t="str">
        <x:v>S44</x:v>
      </x:c>
      <x:c r="B49" s="304" t="str">
        <x:v>Engineering lineage / family applicability</x:v>
      </x:c>
      <x:c r="C49" s="304" t="str">
        <x:v>OmniSense unattended ground sensor system</x:v>
      </x:c>
      <x:c r="D49" s="304" t="str">
        <x:v>McQuiddy, John</x:v>
      </x:c>
      <x:c r="E49" s="304" t="str">
        <x:v>Proceedings of SPIE 6963, 696306; DOI 10.1117/12.784540</x:v>
      </x:c>
      <x:c r="F49" s="304" t="str">
        <x:v>2008</x:v>
      </x:c>
      <x:c r="G49" s="304" t="str">
        <x:v>Record / abstract only</x:v>
      </x:c>
      <x:c r="H49" s="304" t="str">
        <x:v>Publication record and indexed abstract; full paper and CDIF specification not retrieved.</x:v>
      </x:c>
      <x:c r="I49" s="304" t="str">
        <x:v>Manufacturer-authored system/interface lineage</x:v>
      </x:c>
      <x:c r="J49" s="304" t="str">
        <x:v>Retain as CDIF recovery lead</x:v>
      </x:c>
      <x:c r="K49" s="304" t="str">
        <x:v>https://doi.org/10.1117/12.784540</x:v>
      </x:c>
      <x:c r="L49" s="304" t="str">
        <x:v>2026-10-12</x:v>
      </x:c>
      <x:c r="M49" s="304" t="str">
        <x:v>See source entry for limits</x:v>
      </x:c>
      <x:c r="N49" s="304" t="str">
        <x:v>Yes</x:v>
      </x:c>
    </x:row>
    <x:row r="50" ht="74" customHeight="1">
      <x:c r="A50" s="315" t="str">
        <x:v>S45</x:v>
      </x:c>
      <x:c r="B50" s="304" t="str">
        <x:v>Engineering lineage / family applicability</x:v>
      </x:c>
      <x:c r="C50" s="304" t="str">
        <x:v>The Open Standard for Unattended Sensors (OSUS) as a Platform for the Internet of Things (IOT)</x:v>
      </x:c>
      <x:c r="D50" s="304" t="str">
        <x:v>Klawon, Kevin</x:v>
      </x:c>
      <x:c r="E50" s="304" t="str">
        <x:v>Master’s thesis, University of Dayton, Electrical and Computer Engineering</x:v>
      </x:c>
      <x:c r="F50" s="304" t="str">
        <x:v>2023</x:v>
      </x:c>
      <x:c r="G50" s="304" t="str">
        <x:v>Record / abstract only</x:v>
      </x:c>
      <x:c r="H50" s="304" t="str">
        <x:v>University record, abstract and linked OhioLINK metadata; full thesis not retrieved.</x:v>
      </x:c>
      <x:c r="I50" s="304" t="str">
        <x:v>Original engineering research on UGS–IoT applicability</x:v>
      </x:c>
      <x:c r="J50" s="304" t="str">
        <x:v>Use as attributed rationale; separate from newly inspected code</x:v>
      </x:c>
      <x:c r="K50" s="304" t="str">
        <x:v>https://ecommons.udayton.edu/graduate_theses/7186/</x:v>
      </x:c>
      <x:c r="L50" s="304" t="str">
        <x:v>2026-10-12</x:v>
      </x:c>
      <x:c r="M50" s="304" t="str">
        <x:v>See source entry for limits</x:v>
      </x:c>
      <x:c r="N50" s="304" t="str">
        <x:v>Yes</x:v>
      </x:c>
    </x:row>
    <x:row r="51" ht="74" customHeight="1">
      <x:c r="A51" s="315" t="str">
        <x:v>S46</x:v>
      </x:c>
      <x:c r="B51" s="304" t="str">
        <x:v>Engineering lineage / family applicability</x:v>
      </x:c>
      <x:c r="C51" s="304" t="str">
        <x:v>Unattended Ground Sensor Survey</x:v>
      </x:c>
      <x:c r="D51" s="304" t="str">
        <x:v>Armistead, Scott</x:v>
      </x:c>
      <x:c r="E51" s="304" t="str">
        <x:v>DSIAC-2018-0890; report completed April 2018</x:v>
      </x:c>
      <x:c r="F51" s="304" t="str">
        <x:v>2018</x:v>
      </x:c>
      <x:c r="G51" s="304" t="str">
        <x:v>Direct artifact—selected content</x:v>
      </x:c>
      <x:c r="H51" s="304" t="str">
        <x:v>Full 38-page PDF recovered; scope, §2, TRSS/McQ/Scorpion sections and selected references inspected; figures visually inspected.</x:v>
      </x:c>
      <x:c r="I51" s="304" t="str">
        <x:v>Government-sponsored technical survey</x:v>
      </x:c>
      <x:c r="J51" s="304" t="str">
        <x:v>Whole-system coverage evidence, not current product or normative model</x:v>
      </x:c>
      <x:c r="K51" s="304" t="str">
        <x:v>https://dsiac.dtic.mil/wp-content/uploads/2018/05/2165849_STI_Document.pdf</x:v>
      </x:c>
      <x:c r="L51" s="304" t="str">
        <x:v>2026-10-12</x:v>
      </x:c>
      <x:c r="M51" s="304" t="str">
        <x:v>See source entry for limits</x:v>
      </x:c>
      <x:c r="N51" s="304" t="str">
        <x:v>Yes</x:v>
      </x:c>
    </x:row>
    <x:row r="52" ht="101" customHeight="1">
      <x:c r="A52" s="315" t="str">
        <x:v>S47</x:v>
      </x:c>
      <x:c r="B52" s="304" t="str">
        <x:v>Engineering lineage / family applicability</x:v>
      </x:c>
      <x:c r="C52" s="304" t="str">
        <x:v>OSUS-R Asset interface and capability model</x:v>
      </x:c>
      <x:c r="D52" s="304" t="str">
        <x:v>OSUS-R Contributors</x:v>
      </x:c>
      <x:c r="E52" s="304" t="str">
        <x:v>Commit d09088fbe56d4b64f0544d72e98c3cb70fa941f6</x:v>
      </x:c>
      <x:c r="F52" s="304" t="str">
        <x:v>n.d.</x:v>
      </x:c>
      <x:c r="G52" s="304" t="str">
        <x:v>Direct artifact—selected content</x:v>
      </x:c>
      <x:c r="H52" s="304" t="str">
        <x:v>README; Asset.java introductory interface documentation; AssetCapabilities.xsd selected capability/status/command blocks.</x:v>
      </x:c>
      <x:c r="I52" s="304" t="str">
        <x:v>Inspectable reference-implementation model</x:v>
      </x:c>
      <x:c r="J52" s="304" t="str">
        <x:v>OSUS-R implementation-subset precedent retained; no complete native interoperability claim.</x:v>
      </x:c>
      <x:c r="K52" s="304" t="str">
        <x:v>https://github.com/ssg-udri/OSUS-R/blob/d09088fbe56d4b64f0544d72e98c3cb70fa941f6/mil.dod.th.core/src/mil/dod/th/core/asset/Asset.java</x:v>
      </x:c>
      <x:c r="L52" s="304" t="str">
        <x:v>2026-10-12</x:v>
      </x:c>
      <x:c r="M52" s="304" t="str">
        <x:v>https://github.com/ssg-udri/OSUS-R/blob/d09088fbe56d4b64f0544d72e98c3cb70fa941f6/README.md
https://github.com/ssg-udri/OSUS-R/blob/d09088fbe56d4b64f0544d72e98c3cb70fa941f6/mil.dod.th.core.lexicon/schemas/core/asset/capability/AssetCapabilities.xsd | 17 Oct update: Current mode/function binding retains useful organization without claiming OSUS schema or runtime implementation.</x:v>
      </x:c>
      <x:c r="N52" s="304" t="str">
        <x:v>Yes</x:v>
      </x:c>
    </x:row>
    <x:row r="53" ht="74" customHeight="1">
      <x:c r="A53" s="315" t="str">
        <x:v>S48</x:v>
      </x:c>
      <x:c r="B53" s="304" t="str">
        <x:v>Engineering lineage / family applicability</x:v>
      </x:c>
      <x:c r="C53" s="304" t="str">
        <x:v>Service-oriented Sensor Data Interoperability for IEEE 1451 Smart Transducers</x:v>
      </x:c>
      <x:c r="D53" s="304" t="str">
        <x:v>Song, Eugene Y., and Kang B. Lee</x:v>
      </x:c>
      <x:c r="E53" s="304" t="str">
        <x:v>I2MTC 2009, Singapore, May 5–7, pp. 1043–1048</x:v>
      </x:c>
      <x:c r="F53" s="304" t="str">
        <x:v>2009</x:v>
      </x:c>
      <x:c r="G53" s="304" t="str">
        <x:v>Direct artifact—selected content</x:v>
      </x:c>
      <x:c r="H53" s="304" t="str">
        <x:v>Full six-page paper recovered; §§I, III–V and prototype figures inspected.</x:v>
      </x:c>
      <x:c r="I53" s="304" t="str">
        <x:v>Primary prototype and interoperability evidence</x:v>
      </x:c>
      <x:c r="J53" s="304" t="str">
        <x:v>Historical device-standard/OGC bridge precedent</x:v>
      </x:c>
      <x:c r="K53" s="304" t="str">
        <x:v>https://tsapps.nist.gov/publication/get_pdf.cfm?pub_id=902312</x:v>
      </x:c>
      <x:c r="L53" s="304" t="str">
        <x:v>2026-10-12</x:v>
      </x:c>
      <x:c r="M53" s="304" t="str">
        <x:v>See source entry for limits</x:v>
      </x:c>
      <x:c r="N53" s="304" t="str">
        <x:v>Yes</x:v>
      </x:c>
    </x:row>
    <x:row r="54" ht="74" customHeight="1">
      <x:c r="A54" s="315" t="str">
        <x:v>S49</x:v>
      </x:c>
      <x:c r="B54" s="304" t="str">
        <x:v>Engineering lineage / family applicability</x:v>
      </x:c>
      <x:c r="C54" s="304" t="str">
        <x:v>IoT Device Cybersecurity Capability Core Baseline</x:v>
      </x:c>
      <x:c r="D54" s="304" t="str">
        <x:v>Fagan, Michael, Katerina N. Megas, Karen Scarfone, and Matthew Smith</x:v>
      </x:c>
      <x:c r="E54" s="304" t="str">
        <x:v>NISTIR 8259A</x:v>
      </x:c>
      <x:c r="F54" s="304" t="str">
        <x:v>2020</x:v>
      </x:c>
      <x:c r="G54" s="304" t="str">
        <x:v>Direct artifact—selected content</x:v>
      </x:c>
      <x:c r="H54" s="304" t="str">
        <x:v>Full public PDF recovered; introduction and stated scope inspected.</x:v>
      </x:c>
      <x:c r="I54" s="304" t="str">
        <x:v>Authoritative broad device-category context</x:v>
      </x:c>
      <x:c r="J54" s="304" t="str">
        <x:v>Corroborating category evidence, not the domain model</x:v>
      </x:c>
      <x:c r="K54" s="304" t="str">
        <x:v>https://nvlpubs.nist.gov/nistpubs/ir/2020/NIST.IR.8259A.pdf</x:v>
      </x:c>
      <x:c r="L54" s="304" t="str">
        <x:v>2026-10-12</x:v>
      </x:c>
      <x:c r="M54" s="304" t="str">
        <x:v>See source entry for limits</x:v>
      </x:c>
      <x:c r="N54" s="304" t="str">
        <x:v>Yes</x:v>
      </x:c>
    </x:row>
    <x:row r="55" ht="74" customHeight="1">
      <x:c r="A55" s="315" t="str">
        <x:v>S50</x:v>
      </x:c>
      <x:c r="B55" s="304" t="str">
        <x:v>Engineering lineage / family applicability</x:v>
      </x:c>
      <x:c r="C55" s="304" t="str">
        <x:v>Terminology for Constrained-Node Networks</x:v>
      </x:c>
      <x:c r="D55" s="304" t="str">
        <x:v>Bormann, Carsten, Mehmet Ersue, and Ari Keränen</x:v>
      </x:c>
      <x:c r="E55" s="304" t="str">
        <x:v>RFC 7228; Informational</x:v>
      </x:c>
      <x:c r="F55" s="304" t="str">
        <x:v>2014</x:v>
      </x:c>
      <x:c r="G55" s="304" t="str">
        <x:v>Direct artifact—selected content</x:v>
      </x:c>
      <x:c r="H55" s="304" t="str">
        <x:v>Definitions and §§3–4, especially energy limitations and power strategies.</x:v>
      </x:c>
      <x:c r="I55" s="304" t="str">
        <x:v>Cross-domain constraints terminology</x:v>
      </x:c>
      <x:c r="J55" s="304" t="str">
        <x:v>Optional applicability facet, not a universal UGS class</x:v>
      </x:c>
      <x:c r="K55" s="304" t="str">
        <x:v>https://www.rfc-editor.org/rfc/rfc7228.html</x:v>
      </x:c>
      <x:c r="L55" s="304" t="str">
        <x:v>2026-10-12</x:v>
      </x:c>
      <x:c r="M55" s="304" t="str">
        <x:v>See source entry for limits</x:v>
      </x:c>
      <x:c r="N55" s="304" t="str">
        <x:v>Yes</x:v>
      </x:c>
    </x:row>
    <x:row r="56" ht="74" customHeight="1">
      <x:c r="A56" s="315" t="str">
        <x:v>S51</x:v>
      </x:c>
      <x:c r="B56" s="304" t="str">
        <x:v>Engineering lineage / family applicability</x:v>
      </x:c>
      <x:c r="C56" s="304" t="str">
        <x:v>SAPIENT autonomous sensor system</x:v>
      </x:c>
      <x:c r="D56" s="304" t="str">
        <x:v>Defence Science and Technology Laboratory</x:v>
      </x:c>
      <x:c r="E56" s="304" t="str">
        <x:v>GOV.UK guidance; updated September 6, 2024</x:v>
      </x:c>
      <x:c r="F56" s="304" t="str">
        <x:v>2024</x:v>
      </x:c>
      <x:c r="G56" s="304" t="str">
        <x:v>Direct artifact—selected content</x:v>
      </x:c>
      <x:c r="H56" s="304" t="str">
        <x:v>Official guidance, version history and multinational experimentation account.</x:v>
      </x:c>
      <x:c r="I56" s="304" t="str">
        <x:v>Government implementation-ecosystem evidence</x:v>
      </x:c>
      <x:c r="J56" s="304" t="str">
        <x:v>Historical 2024 guidance retained; technical v2 sources now S110–S113.</x:v>
      </x:c>
      <x:c r="K56" s="304" t="str">
        <x:v>https://www.gov.uk/guidance/sapient-autonomous-sensor-system</x:v>
      </x:c>
      <x:c r="L56" s="304" t="str">
        <x:v>2026-10-12</x:v>
      </x:c>
      <x:c r="M56" s="304" t="str">
        <x:v>See source entry for limits | 17 Oct update: S124 is distinct 14 Oct 2026 guidance revision. Historical OSUS coexistence wording not found on current page; prior dated evidence retained.</x:v>
      </x:c>
      <x:c r="N56" s="304" t="str">
        <x:v>Yes</x:v>
      </x:c>
    </x:row>
    <x:row r="57" ht="74" customHeight="1">
      <x:c r="A57" s="315" t="str">
        <x:v>S52</x:v>
      </x:c>
      <x:c r="B57" s="304" t="str">
        <x:v>Engineering lineage / family applicability</x:v>
      </x:c>
      <x:c r="C57" s="304" t="str">
        <x:v>Information technology—Sensor networks: Sensor Network Reference Architecture (SNRA)—Part 4: Entity models</x:v>
      </x:c>
      <x:c r="D57" s="304" t="str">
        <x:v>ISO/IEC</x:v>
      </x:c>
      <x:c r="E57" s="304" t="str">
        <x:v>ISO/IEC 29182-4:2013, edition 1</x:v>
      </x:c>
      <x:c r="F57" s="304" t="str">
        <x:v>2013</x:v>
      </x:c>
      <x:c r="G57" s="304" t="str">
        <x:v>Direct artifact—selected content</x:v>
      </x:c>
      <x:c r="H57" s="304" t="str">
        <x:v>Official catalog plus public standard preview: introduction, §5, §6.1.1, Figures 1–2 and Table 1; later detailed clauses not inspected.</x:v>
      </x:c>
      <x:c r="I57" s="304" t="str">
        <x:v>Published industry reference architecture / entity models</x:v>
      </x:c>
      <x:c r="J57" s="304" t="str">
        <x:v>Principal category-and-coverage reference; not a selected exchange schema</x:v>
      </x:c>
      <x:c r="K57" s="304" t="str">
        <x:v>https://www.iso.org/standard/57094.html</x:v>
      </x:c>
      <x:c r="L57" s="304" t="str">
        <x:v>2026-10-12</x:v>
      </x:c>
      <x:c r="M57" s="304" t="str">
        <x:v>https://cdn.standards.iteh.ai/samples/57094/99af0cb09ebb4ac9bd460d39eab6b76f/ISO-IEC-29182-4-2013.pdf</x:v>
      </x:c>
      <x:c r="N57" s="304" t="str">
        <x:v>Yes</x:v>
      </x:c>
    </x:row>
    <x:row r="58" ht="74" customHeight="1">
      <x:c r="A58" s="316" t="str">
        <x:v>S53</x:v>
      </x:c>
      <x:c r="B58" s="317" t="str">
        <x:v>Hardware, networking and topology</x:v>
      </x:c>
      <x:c r="C58" s="317" t="str">
        <x:v>The Interfaces Group MIB</x:v>
      </x:c>
      <x:c r="D58" s="317" t="str">
        <x:v>IETF</x:v>
      </x:c>
      <x:c r="E58" s="317" t="str">
        <x:v>RFC 2863 (2000)</x:v>
      </x:c>
      <x:c r="F58" s="317" t="str">
        <x:v>2000</x:v>
      </x:c>
      <x:c r="G58" s="317" t="str">
        <x:v>Selected primary publication/schema inspected, as stated</x:v>
      </x:c>
      <x:c r="H58" s="317" t="str">
        <x:v>Selected published RFC clauses and interface model; later profile/ISA comparison</x:v>
      </x:c>
      <x:c r="I58" s="317" t="str">
        <x:v>Retain as mature interface precedent for R13–R15, distinct from electrical power interfaces and physical components.</x:v>
      </x:c>
      <x:c r="J58" s="317" t="str">
        <x:v>Complementary research and design precedent</x:v>
      </x:c>
      <x:c r="K58" s="317" t="str">
        <x:v>https://www.rfc-editor.org/rfc/rfc2863.html</x:v>
      </x:c>
      <x:c r="L58" s="317" t="str">
        <x:v>2026-10-14</x:v>
      </x:c>
      <x:c r="M58" s="317" t="str">
        <x:v>Main profile v0.3.1 and standards-pedigree primer, plus ISA/power references</x:v>
      </x:c>
      <x:c r="N58" s="317" t="str">
        <x:v>Yes</x:v>
      </x:c>
    </x:row>
    <x:row r="59" ht="74" customHeight="1">
      <x:c r="A59" s="316" t="str">
        <x:v>S54</x:v>
      </x:c>
      <x:c r="B59" s="317" t="str">
        <x:v>Hardware, networking and topology</x:v>
      </x:c>
      <x:c r="C59" s="317" t="str">
        <x:v>A YANG Data Model for Interface Management</x:v>
      </x:c>
      <x:c r="D59" s="317" t="str">
        <x:v>IETF</x:v>
      </x:c>
      <x:c r="E59" s="317" t="str">
        <x:v>RFC 8343 (2018)</x:v>
      </x:c>
      <x:c r="F59" s="317" t="str">
        <x:v>2018</x:v>
      </x:c>
      <x:c r="G59" s="317" t="str">
        <x:v>Selected primary publication/schema inspected, as stated</x:v>
      </x:c>
      <x:c r="H59" s="317" t="str">
        <x:v>Published RFC §§2–4 and selected YANG definitions inspected in profile/ISA comparison</x:v>
      </x:c>
      <x:c r="I59" s="317" t="str">
        <x:v>Candidate semantic donor for communications interface groups, with actual communications mediation distinguished from equipment containment.</x:v>
      </x:c>
      <x:c r="J59" s="317" t="str">
        <x:v>Complementary research and design precedent</x:v>
      </x:c>
      <x:c r="K59" s="317" t="str">
        <x:v>https://www.rfc-editor.org/rfc/rfc8343.html</x:v>
      </x:c>
      <x:c r="L59" s="317" t="str">
        <x:v>2026-10-14</x:v>
      </x:c>
      <x:c r="M59" s="317" t="str">
        <x:v>Main profile v0.3.1 and standards-pedigree primer, plus ISA/power references</x:v>
      </x:c>
      <x:c r="N59" s="317" t="str">
        <x:v>Yes</x:v>
      </x:c>
    </x:row>
    <x:row r="60" ht="74" customHeight="1">
      <x:c r="A60" s="316" t="str">
        <x:v>S55</x:v>
      </x:c>
      <x:c r="B60" s="317" t="str">
        <x:v>Hardware, networking and topology</x:v>
      </x:c>
      <x:c r="C60" s="317" t="str">
        <x:v>A YANG Data Model for Network Topologies</x:v>
      </x:c>
      <x:c r="D60" s="317" t="str">
        <x:v>IETF</x:v>
      </x:c>
      <x:c r="E60" s="317" t="str">
        <x:v>RFC 8345 (2018)</x:v>
      </x:c>
      <x:c r="F60" s="317" t="str">
        <x:v>2018</x:v>
      </x:c>
      <x:c r="G60" s="317" t="str">
        <x:v>Selected primary publication/schema inspected, as stated</x:v>
      </x:c>
      <x:c r="H60" s="317" t="str">
        <x:v>Selected RFC §§4.2–4.4.2 and model definitions inspected during main-profile drafting</x:v>
      </x:c>
      <x:c r="I60" s="317" t="str">
        <x:v>Helps keep R15 link semantics separate from deployment, physical containment, representation proxies and power supply.</x:v>
      </x:c>
      <x:c r="J60" s="317" t="str">
        <x:v>Complementary research and design precedent</x:v>
      </x:c>
      <x:c r="K60" s="317" t="str">
        <x:v>https://www.rfc-editor.org/rfc/rfc8345.html</x:v>
      </x:c>
      <x:c r="L60" s="317" t="str">
        <x:v>2026-10-14</x:v>
      </x:c>
      <x:c r="M60" s="317" t="str">
        <x:v>Main profile v0.3.1 and standards-pedigree primer, plus ISA/power references</x:v>
      </x:c>
      <x:c r="N60" s="317" t="str">
        <x:v>Yes</x:v>
      </x:c>
    </x:row>
    <x:row r="61" ht="74" customHeight="1">
      <x:c r="A61" s="316" t="str">
        <x:v>S56</x:v>
      </x:c>
      <x:c r="B61" s="317" t="str">
        <x:v>API profiles, identity and references</x:v>
      </x:c>
      <x:c r="C61" s="317" t="str">
        <x:v>The profile Link Relation Type</x:v>
      </x:c>
      <x:c r="D61" s="317" t="str">
        <x:v>IETF</x:v>
      </x:c>
      <x:c r="E61" s="317" t="str">
        <x:v>RFC 6906 (2013)</x:v>
      </x:c>
      <x:c r="F61" s="317" t="str">
        <x:v>2013</x:v>
      </x:c>
      <x:c r="G61" s="317" t="str">
        <x:v>Selected primary publication/schema inspected, as stated</x:v>
      </x:c>
      <x:c r="H61" s="317" t="str">
        <x:v>Sections 3–5 inspected in main-profile draft and companion design primer</x:v>
      </x:c>
      <x:c r="I61" s="317" t="str">
        <x:v>Useful for declaring a future MERLIN application profile without inventing a parallel API surface.</x:v>
      </x:c>
      <x:c r="J61" s="317" t="str">
        <x:v>Underlying identifier/profile-link syntax; MERLIN reference design is authored</x:v>
      </x:c>
      <x:c r="K61" s="317" t="str">
        <x:v>https://www.rfc-editor.org/rfc/rfc6906.html</x:v>
      </x:c>
      <x:c r="L61" s="317" t="str">
        <x:v>2026-10-14</x:v>
      </x:c>
      <x:c r="M61" s="317" t="str">
        <x:v>Main profile v0.3.1 and standards-pedigree primer, plus ISA/power references</x:v>
      </x:c>
      <x:c r="N61" s="317" t="str">
        <x:v>Yes</x:v>
      </x:c>
    </x:row>
    <x:row r="62" ht="74" customHeight="1">
      <x:c r="A62" s="316" t="str">
        <x:v>S57</x:v>
      </x:c>
      <x:c r="B62" s="317" t="str">
        <x:v>API profiles, identity and references</x:v>
      </x:c>
      <x:c r="C62" s="317" t="str">
        <x:v>Uniform Resource Identifier Generic Syntax</x:v>
      </x:c>
      <x:c r="D62" s="317" t="str">
        <x:v>IETF</x:v>
      </x:c>
      <x:c r="E62" s="317" t="str">
        <x:v>RFC 3986 (2005)</x:v>
      </x:c>
      <x:c r="F62" s="317" t="str">
        <x:v>2005</x:v>
      </x:c>
      <x:c r="G62" s="317" t="str">
        <x:v>Selected primary publication/schema inspected, as stated</x:v>
      </x:c>
      <x:c r="H62" s="317" t="str">
        <x:v>§§1.1.3 and 3.5 inspected in the design-rationale primer</x:v>
      </x:c>
      <x:c r="I62" s="317" t="str">
        <x:v>Supports scrutinizing proposed owner-resource#native-id references to embedded SensorML content.</x:v>
      </x:c>
      <x:c r="J62" s="317" t="str">
        <x:v>Underlying identifier/profile-link syntax; MERLIN reference design is authored</x:v>
      </x:c>
      <x:c r="K62" s="317" t="str">
        <x:v>https://www.rfc-editor.org/rfc/rfc3986.html</x:v>
      </x:c>
      <x:c r="L62" s="317" t="str">
        <x:v>2026-10-14</x:v>
      </x:c>
      <x:c r="M62" s="317" t="str">
        <x:v>Main profile v0.3.1 and standards-pedigree primer, plus ISA/power references</x:v>
      </x:c>
      <x:c r="N62" s="317" t="str">
        <x:v>Yes</x:v>
      </x:c>
    </x:row>
    <x:row r="63" ht="74" customHeight="1">
      <x:c r="A63" s="316" t="str">
        <x:v>S58</x:v>
      </x:c>
      <x:c r="B63" s="317" t="str">
        <x:v>API profiles, identity and references</x:v>
      </x:c>
      <x:c r="C63" s="317" t="str">
        <x:v>JavaScript Object Notation Pointer</x:v>
      </x:c>
      <x:c r="D63" s="317" t="str">
        <x:v>IETF</x:v>
      </x:c>
      <x:c r="E63" s="317" t="str">
        <x:v>RFC 6901 (2013)</x:v>
      </x:c>
      <x:c r="F63" s="317" t="str">
        <x:v>2013</x:v>
      </x:c>
      <x:c r="G63" s="317" t="str">
        <x:v>Selected primary publication/schema inspected, as stated</x:v>
      </x:c>
      <x:c r="H63" s="317" t="str">
        <x:v>§§3–6 inspected in the companion primer</x:v>
      </x:c>
      <x:c r="I63" s="317" t="str">
        <x:v>Important negative comparison for owner#id design because a native SensorML id is not equivalent to a JSON array index or pointer.</x:v>
      </x:c>
      <x:c r="J63" s="317" t="str">
        <x:v>Underlying identifier/profile-link syntax; MERLIN reference design is authored</x:v>
      </x:c>
      <x:c r="K63" s="317" t="str">
        <x:v>https://www.rfc-editor.org/rfc/rfc6901.html</x:v>
      </x:c>
      <x:c r="L63" s="317" t="str">
        <x:v>2026-10-14</x:v>
      </x:c>
      <x:c r="M63" s="317" t="str">
        <x:v>Main profile v0.3.1 and standards-pedigree primer, plus ISA/power references</x:v>
      </x:c>
      <x:c r="N63" s="317" t="str">
        <x:v>Yes</x:v>
      </x:c>
    </x:row>
    <x:row r="64" ht="75" customHeight="1">
      <x:c r="A64" s="316" t="str">
        <x:v>S59</x:v>
      </x:c>
      <x:c r="B64" s="317" t="str">
        <x:v>OGC encoding artifacts</x:v>
      </x:c>
      <x:c r="C64" s="317" t="str">
        <x:v>SensorML 3.0 JSON Schema collection</x:v>
      </x:c>
      <x:c r="D64" s="317" t="str">
        <x:v>OGC</x:v>
      </x:c>
      <x:c r="E64" s="317" t="str">
        <x:v>Accompanies SensorML 3.0 (OGC 23-000)</x:v>
      </x:c>
      <x:c r="F64" s="317" t="str">
        <x:v>n.d. / accessed 2026-10-14</x:v>
      </x:c>
      <x:c r="G64" s="317" t="str">
        <x:v>Selected primary publication/schema inspected, as stated</x:v>
      </x:c>
      <x:c r="H64" s="317" t="str">
        <x:v>Selected live repository schema files inspected for legal JSON carriers and native identifying properties</x:v>
      </x:c>
      <x:c r="I64" s="317" t="str">
        <x:v>Essential supporting implementation artifact for the v0.3 OGC binding choices, not an independent application profile.</x:v>
      </x:c>
      <x:c r="J64" s="317" t="str">
        <x:v>Selected native SensorML JSON artifacts support approved v0.3.4/v0.3.5 carriers.</x:v>
      </x:c>
      <x:c r="K64" s="317" t="str">
        <x:v>https://schemas.opengis.net/sensorML/3.0/json/</x:v>
      </x:c>
      <x:c r="L64" s="317" t="str">
        <x:v>2026-10-14</x:v>
      </x:c>
      <x:c r="M64" s="317" t="str">
        <x:v>Main profile v0.3.1 and standards-pedigree primer, plus ISA/power references | 17 Oct update: Additional inspected files: Mode, DescribedObject, AbstractProcess, Settings, commonDefs, sweCommonDefs and DerivedProperty. Full schema closure not recovered.</x:v>
      </x:c>
      <x:c r="N64" s="317" t="str">
        <x:v>Yes</x:v>
      </x:c>
    </x:row>
    <x:row r="65" ht="74" customHeight="1">
      <x:c r="A65" s="316" t="str">
        <x:v>S60</x:v>
      </x:c>
      <x:c r="B65" s="317" t="str">
        <x:v>OGC encoding artifacts</x:v>
      </x:c>
      <x:c r="C65" s="317" t="str">
        <x:v>CSAPI Part 2 SystemEvent JSON Schema</x:v>
      </x:c>
      <x:c r="D65" s="317" t="str">
        <x:v>OGC</x:v>
      </x:c>
      <x:c r="E65" s="317" t="str">
        <x:v>CSAPI Part 2 1.0 schema</x:v>
      </x:c>
      <x:c r="F65" s="317" t="str">
        <x:v>n.d. / accessed 2026-10-14</x:v>
      </x:c>
      <x:c r="G65" s="317" t="str">
        <x:v>Selected primary publication/schema inspected, as stated</x:v>
      </x:c>
      <x:c r="H65" s="317" t="str">
        <x:v>Specific event schema inspected in Power Source binding review</x:v>
      </x:c>
      <x:c r="I65" s="317" t="str">
        <x:v>Supports native optional system-service history rather than automatically inventing a standalone maintenance collection.</x:v>
      </x:c>
      <x:c r="J65" s="317" t="str">
        <x:v>Optional SystemEvent supporting schema; not a newly implemented service capability.</x:v>
      </x:c>
      <x:c r="K65" s="317" t="str">
        <x:v>https://schemas.opengis.net/ogcapi/connected-systems/part2/1.0/</x:v>
      </x:c>
      <x:c r="L65" s="317" t="str">
        <x:v>2026-10-14</x:v>
      </x:c>
      <x:c r="M65" s="317" t="str">
        <x:v>Main profile v0.3.1 and standards-pedigree primer, plus ISA/power references | 17 Oct update: R18 embedded history retained; operational SystemEvent access/coexistence remains an explicit residual, IG04.</x:v>
      </x:c>
      <x:c r="N65" s="317" t="str">
        <x:v>Yes</x:v>
      </x:c>
    </x:row>
    <x:row r="66" ht="74" customHeight="1">
      <x:c r="A66" s="316" t="str">
        <x:v>S61</x:v>
      </x:c>
      <x:c r="B66" s="317" t="str">
        <x:v>Power domain and equipment management</x:v>
      </x:c>
      <x:c r="C66" s="317" t="str">
        <x:v>Monitoring and Control MIB for Power and Energy</x:v>
      </x:c>
      <x:c r="D66" s="317" t="str">
        <x:v>IETF</x:v>
      </x:c>
      <x:c r="E66" s="317" t="str">
        <x:v>RFC 7460 (2015)</x:v>
      </x:c>
      <x:c r="F66" s="317" t="str">
        <x:v>2015</x:v>
      </x:c>
      <x:c r="G66" s="317" t="str">
        <x:v>Selected primary publication/schema inspected, as stated</x:v>
      </x:c>
      <x:c r="H66" s="317" t="str">
        <x:v>Selected §§5 and 9 reviewed in power-domain research</x:v>
      </x:c>
      <x:c r="I66" s="317" t="str">
        <x:v>Companion realization supporting the RFC 7326 energy information framework and proposed qualified electrical observations.</x:v>
      </x:c>
      <x:c r="J66" s="317" t="str">
        <x:v>Power-domain specialization, comparator, or quantitative donor</x:v>
      </x:c>
      <x:c r="K66" s="317" t="str">
        <x:v>https://www.rfc-editor.org/rfc/rfc7460.html</x:v>
      </x:c>
      <x:c r="L66" s="317" t="str">
        <x:v>2026-10-14</x:v>
      </x:c>
      <x:c r="M66" s="317" t="str">
        <x:v>Power Source model and binding recommendation, 14 October 2026</x:v>
      </x:c>
      <x:c r="N66" s="317" t="str">
        <x:v>Yes</x:v>
      </x:c>
    </x:row>
    <x:row r="67" ht="74" customHeight="1">
      <x:c r="A67" s="316" t="str">
        <x:v>S62</x:v>
      </x:c>
      <x:c r="B67" s="317" t="str">
        <x:v>Power domain and equipment management</x:v>
      </x:c>
      <x:c r="C67" s="317" t="str">
        <x:v>Energy Object Context MIB</x:v>
      </x:c>
      <x:c r="D67" s="317" t="str">
        <x:v>IETF</x:v>
      </x:c>
      <x:c r="E67" s="317" t="str">
        <x:v>RFC 7461 (2015)</x:v>
      </x:c>
      <x:c r="F67" s="317" t="str">
        <x:v>2015</x:v>
      </x:c>
      <x:c r="G67" s="317" t="str">
        <x:v>Selected primary publication/schema inspected, as stated</x:v>
      </x:c>
      <x:c r="H67" s="317" t="str">
        <x:v>Selected §§5–6 and relationship/token definitions inspected by Power Source</x:v>
      </x:c>
      <x:c r="I67" s="317" t="str">
        <x:v>Provides a check that RFC 7326 predicate labels and the MIB's encoded tokens are not carelessly equated.</x:v>
      </x:c>
      <x:c r="J67" s="317" t="str">
        <x:v>Power-domain specialization, comparator, or quantitative donor</x:v>
      </x:c>
      <x:c r="K67" s="317" t="str">
        <x:v>https://www.rfc-editor.org/rfc/rfc7461.html</x:v>
      </x:c>
      <x:c r="L67" s="317" t="str">
        <x:v>2026-10-14</x:v>
      </x:c>
      <x:c r="M67" s="317" t="str">
        <x:v>Power Source model and binding recommendation, 14 October 2026</x:v>
      </x:c>
      <x:c r="N67" s="317" t="str">
        <x:v>Yes</x:v>
      </x:c>
    </x:row>
    <x:row r="68" ht="74" customHeight="1">
      <x:c r="A68" s="316" t="str">
        <x:v>S63</x:v>
      </x:c>
      <x:c r="B68" s="317" t="str">
        <x:v>Power domain and equipment management</x:v>
      </x:c>
      <x:c r="C68" s="317" t="str">
        <x:v>CIM_Battery in CIM Schema 2.31</x:v>
      </x:c>
      <x:c r="D68" s="317" t="str">
        <x:v>DMTF</x:v>
      </x:c>
      <x:c r="E68" s="317" t="str">
        <x:v>CIM_Battery 2.31.0 distribution</x:v>
      </x:c>
      <x:c r="F68" s="317" t="str">
        <x:v>n.d. / accessed 2026-10-14</x:v>
      </x:c>
      <x:c r="G68" s="317" t="str">
        <x:v>Selected primary publication/schema inspected, as stated</x:v>
      </x:c>
      <x:c r="H68" s="317" t="str">
        <x:v>Selected published class properties inspected, especially EstimatedRunTime, TimeToFullCharge, HealthPercent</x:v>
      </x:c>
      <x:c r="I68" s="317" t="str">
        <x:v>Supports optional narrowly translated runtime estimates rather than replacing the energy-object framework with a complete CIM ontology.</x:v>
      </x:c>
      <x:c r="J68" s="317" t="str">
        <x:v>Power-domain specialization, comparator, or quantitative donor</x:v>
      </x:c>
      <x:c r="K68" s="317" t="str">
        <x:v>https://www.dmtf.org/standards/cim</x:v>
      </x:c>
      <x:c r="L68" s="317" t="str">
        <x:v>2026-10-14</x:v>
      </x:c>
      <x:c r="M68" s="317" t="str">
        <x:v>Power Source model and binding recommendation, 14 October 2026</x:v>
      </x:c>
      <x:c r="N68" s="317" t="str">
        <x:v>Yes</x:v>
      </x:c>
    </x:row>
    <x:row r="69" ht="74" customHeight="1">
      <x:c r="A69" s="316" t="str">
        <x:v>S64</x:v>
      </x:c>
      <x:c r="B69" s="317" t="str">
        <x:v>Power domain and equipment management</x:v>
      </x:c>
      <x:c r="C69" s="317" t="str">
        <x:v>Redfish Battery JSON Schema</x:v>
      </x:c>
      <x:c r="D69" s="317" t="str">
        <x:v>DMTF</x:v>
      </x:c>
      <x:c r="E69" s="317" t="str">
        <x:v>Battery schema 1.4.0</x:v>
      </x:c>
      <x:c r="F69" s="317" t="str">
        <x:v>n.d. / accessed 2026-10-14</x:v>
      </x:c>
      <x:c r="G69" s="317" t="str">
        <x:v>Selected primary publication/schema inspected, as stated</x:v>
      </x:c>
      <x:c r="H69" s="317" t="str">
        <x:v>Named versioned schema selected and read in Power Source comparison</x:v>
      </x:c>
      <x:c r="I69" s="317" t="str">
        <x:v>Serious battery specialization comparator, especially for suppliers already exposing Redfish resources.</x:v>
      </x:c>
      <x:c r="J69" s="317" t="str">
        <x:v>Power-domain specialization, comparator, or quantitative donor</x:v>
      </x:c>
      <x:c r="K69" s="317" t="str">
        <x:v>https://github.com/DMTF/Redfish-Publications/blob/master/json-schema/Battery.v1_4_0.json</x:v>
      </x:c>
      <x:c r="L69" s="317" t="str">
        <x:v>2026-10-14</x:v>
      </x:c>
      <x:c r="M69" s="317" t="str">
        <x:v>Power Source model and binding recommendation, 14 October 2026</x:v>
      </x:c>
      <x:c r="N69" s="317" t="str">
        <x:v>Yes</x:v>
      </x:c>
    </x:row>
    <x:row r="70" ht="74" customHeight="1">
      <x:c r="A70" s="316" t="str">
        <x:v>S65</x:v>
      </x:c>
      <x:c r="B70" s="317" t="str">
        <x:v>Power domain and equipment management</x:v>
      </x:c>
      <x:c r="C70" s="317" t="str">
        <x:v>Redfish BatteryMetrics JSON Schema</x:v>
      </x:c>
      <x:c r="D70" s="317" t="str">
        <x:v>DMTF</x:v>
      </x:c>
      <x:c r="E70" s="317" t="str">
        <x:v>BatteryMetrics schema 1.1.0</x:v>
      </x:c>
      <x:c r="F70" s="317" t="str">
        <x:v>n.d. / accessed 2026-10-14</x:v>
      </x:c>
      <x:c r="G70" s="317" t="str">
        <x:v>Selected primary publication/schema inspected, as stated</x:v>
      </x:c>
      <x:c r="H70" s="317" t="str">
        <x:v>Named versioned schema read in Power Source comparison</x:v>
      </x:c>
      <x:c r="I70" s="317" t="str">
        <x:v>Useful comparator for keeping battery identity separate from continuously sampled electrical values.</x:v>
      </x:c>
      <x:c r="J70" s="317" t="str">
        <x:v>Power-domain specialization, comparator, or quantitative donor</x:v>
      </x:c>
      <x:c r="K70" s="317" t="str">
        <x:v>https://github.com/DMTF/Redfish-Publications/blob/master/json-schema/BatteryMetrics.v1_1_0.json</x:v>
      </x:c>
      <x:c r="L70" s="317" t="str">
        <x:v>2026-10-14</x:v>
      </x:c>
      <x:c r="M70" s="317" t="str">
        <x:v>Power Source model and binding recommendation, 14 October 2026</x:v>
      </x:c>
      <x:c r="N70" s="317" t="str">
        <x:v>Yes</x:v>
      </x:c>
    </x:row>
    <x:row r="71" ht="74" customHeight="1">
      <x:c r="A71" s="316" t="str">
        <x:v>S66</x:v>
      </x:c>
      <x:c r="B71" s="317" t="str">
        <x:v>Power domain and equipment management</x:v>
      </x:c>
      <x:c r="C71" s="317" t="str">
        <x:v>Redfish PowerDistribution JSON Schema</x:v>
      </x:c>
      <x:c r="D71" s="317" t="str">
        <x:v>DMTF</x:v>
      </x:c>
      <x:c r="E71" s="317" t="str">
        <x:v>PowerDistribution schema 1.4.0</x:v>
      </x:c>
      <x:c r="F71" s="317" t="str">
        <x:v>n.d. / accessed 2026-10-14</x:v>
      </x:c>
      <x:c r="G71" s="317" t="str">
        <x:v>Selected primary publication/schema inspected, as stated</x:v>
      </x:c>
      <x:c r="H71" s="317" t="str">
        <x:v>Named versioned schema read for circuits, outlets and redundancy structures</x:v>
      </x:c>
      <x:c r="I71" s="317" t="str">
        <x:v>A genuine alternative modeling approach considered alongside RFC 7326, not a dismissed battery widget.</x:v>
      </x:c>
      <x:c r="J71" s="317" t="str">
        <x:v>Power-domain specialization, comparator, or quantitative donor</x:v>
      </x:c>
      <x:c r="K71" s="317" t="str">
        <x:v>https://github.com/DMTF/Redfish-Publications/blob/master/json-schema/PowerDistribution.v1_4_0.json</x:v>
      </x:c>
      <x:c r="L71" s="317" t="str">
        <x:v>2026-10-14</x:v>
      </x:c>
      <x:c r="M71" s="317" t="str">
        <x:v>Power Source model and binding recommendation, 14 October 2026</x:v>
      </x:c>
      <x:c r="N71" s="317" t="str">
        <x:v>Yes</x:v>
      </x:c>
    </x:row>
    <x:row r="72" ht="74" customHeight="1">
      <x:c r="A72" s="316" t="str">
        <x:v>S67</x:v>
      </x:c>
      <x:c r="B72" s="317" t="str">
        <x:v>Power domain and equipment management</x:v>
      </x:c>
      <x:c r="C72" s="317" t="str">
        <x:v>Redfish Resource and Schema Guide</x:v>
      </x:c>
      <x:c r="D72" s="317" t="str">
        <x:v>DMTF</x:v>
      </x:c>
      <x:c r="E72" s="317" t="str">
        <x:v>DSP2046 v2025.2</x:v>
      </x:c>
      <x:c r="F72" s="317" t="str">
        <x:v>2025</x:v>
      </x:c>
      <x:c r="G72" s="317" t="str">
        <x:v>Selected primary publication/schema inspected, as stated</x:v>
      </x:c>
      <x:c r="H72" s="317" t="str">
        <x:v>Guide metadata and copyright/patent notices examined with named Redfish schemas</x:v>
      </x:c>
      <x:c r="I72" s="317" t="str">
        <x:v>Helps keep inspectability, document redistribution rights and implementation/patent matters distinct.</x:v>
      </x:c>
      <x:c r="J72" s="317" t="str">
        <x:v>Power-domain specialization, comparator, or quantitative donor</x:v>
      </x:c>
      <x:c r="K72" s="317" t="str">
        <x:v>https://www.dmtf.org/standards/redfish</x:v>
      </x:c>
      <x:c r="L72" s="317" t="str">
        <x:v>2026-10-14</x:v>
      </x:c>
      <x:c r="M72" s="317" t="str">
        <x:v>Power Source model and binding recommendation, 14 October 2026</x:v>
      </x:c>
      <x:c r="N72" s="317" t="str">
        <x:v>Yes</x:v>
      </x:c>
    </x:row>
    <x:row r="73" ht="74" customHeight="1">
      <x:c r="A73" s="316" t="str">
        <x:v>S68</x:v>
      </x:c>
      <x:c r="B73" s="317" t="str">
        <x:v>Power domain and equipment management</x:v>
      </x:c>
      <x:c r="C73" s="317" t="str">
        <x:v>Lightweight M2M Core Device Object appendix</x:v>
      </x:c>
      <x:c r="D73" s="317" t="str">
        <x:v>OMA</x:v>
      </x:c>
      <x:c r="E73" s="317" t="str">
        <x:v>Core v1.2.2, Device 3 v1.2</x:v>
      </x:c>
      <x:c r="F73" s="317" t="str">
        <x:v>2024</x:v>
      </x:c>
      <x:c r="G73" s="317" t="str">
        <x:v>Selected primary publication/schema inspected, as stated</x:v>
      </x:c>
      <x:c r="H73" s="317" t="str">
        <x:v>Dated frozen core specification, Appendix E.4, inspected in Power Source comparison</x:v>
      </x:c>
      <x:c r="I73" s="317" t="str">
        <x:v>Useful comparison for sparse IoT providers but weaker organizing source for shared generation, distribution and meter coverage.</x:v>
      </x:c>
      <x:c r="J73" s="317" t="str">
        <x:v>Power-domain specialization, comparator, or quantitative donor</x:v>
      </x:c>
      <x:c r="K73" s="317" t="str">
        <x:v>https://www.openmobilealliance.org/release/LightweightM2M/V1_2_2-20240613-A/OMA-TS-LightweightM2M_Core-V1_2_2-20240613-A.pdf</x:v>
      </x:c>
      <x:c r="L73" s="317" t="str">
        <x:v>2026-10-14</x:v>
      </x:c>
      <x:c r="M73" s="317" t="str">
        <x:v>Power Source model and binding recommendation, 14 October 2026</x:v>
      </x:c>
      <x:c r="N73" s="317" t="str">
        <x:v>Yes</x:v>
      </x:c>
    </x:row>
    <x:row r="74" ht="74" customHeight="1">
      <x:c r="A74" s="316" t="str">
        <x:v>S69</x:v>
      </x:c>
      <x:c r="B74" s="317" t="str">
        <x:v>Rights and governance evidence</x:v>
      </x:c>
      <x:c r="C74" s="317" t="str">
        <x:v>IETF Intellectual Property Rights guidance</x:v>
      </x:c>
      <x:c r="D74" s="317" t="str">
        <x:v>IETF</x:v>
      </x:c>
      <x:c r="E74" s="317" t="str">
        <x:v>Current public guidance accessed 14 Oct 2026</x:v>
      </x:c>
      <x:c r="F74" s="317" t="str">
        <x:v>n.d. / accessed 2026-10-14</x:v>
      </x:c>
      <x:c r="G74" s="317" t="str">
        <x:v>Official policy/license consulted; not a technical standard</x:v>
      </x:c>
      <x:c r="H74" s="317" t="str">
        <x:v>Selected public document, code-component and patent guidance consulted in Power Source</x:v>
      </x:c>
      <x:c r="I74" s="317" t="str">
        <x:v>Supports reuse-terms assessment for prospective source-derived power definitions.</x:v>
      </x:c>
      <x:c r="J74" s="317" t="str">
        <x:v>Open development/rights comparator</x:v>
      </x:c>
      <x:c r="K74" s="317" t="str">
        <x:v>https://www.ietf.org/standards/ipr/</x:v>
      </x:c>
      <x:c r="L74" s="317" t="str">
        <x:v>2026-10-14</x:v>
      </x:c>
      <x:c r="M74" s="317" t="str">
        <x:v>Power Source model and binding recommendation, 14 October 2026</x:v>
      </x:c>
      <x:c r="N74" s="317" t="str">
        <x:v>Yes</x:v>
      </x:c>
    </x:row>
    <x:row r="75" ht="74" customHeight="1">
      <x:c r="A75" s="316" t="str">
        <x:v>S70</x:v>
      </x:c>
      <x:c r="B75" s="317" t="str">
        <x:v>Rights and governance evidence</x:v>
      </x:c>
      <x:c r="C75" s="317" t="str">
        <x:v>UCUM License</x:v>
      </x:c>
      <x:c r="D75" s="317" t="str">
        <x:v>UCUM</x:v>
      </x:c>
      <x:c r="E75" s="317" t="str">
        <x:v>Current license page cited 14 Oct 2026</x:v>
      </x:c>
      <x:c r="F75" s="317" t="str">
        <x:v>n.d. / accessed 2026-10-14</x:v>
      </x:c>
      <x:c r="G75" s="317" t="str">
        <x:v>Official policy/license consulted; not a technical standard</x:v>
      </x:c>
      <x:c r="H75" s="317" t="str">
        <x:v>License terms consulted in Power Source / foundational research</x:v>
      </x:c>
      <x:c r="I75" s="317" t="str">
        <x:v>Supports planning a unit-code dependency without inventing altered meanings under existing standardized codes.</x:v>
      </x:c>
      <x:c r="J75" s="317" t="str">
        <x:v>Open development/rights comparator</x:v>
      </x:c>
      <x:c r="K75" s="317" t="str">
        <x:v>https://ucum.org/license</x:v>
      </x:c>
      <x:c r="L75" s="317" t="str">
        <x:v>2026-10-14</x:v>
      </x:c>
      <x:c r="M75" s="317" t="str">
        <x:v>Power Source model and binding recommendation, 14 October 2026</x:v>
      </x:c>
      <x:c r="N75" s="317" t="str">
        <x:v>Yes</x:v>
      </x:c>
    </x:row>
    <x:row r="76" ht="74" customHeight="1">
      <x:c r="A76" s="316" t="str">
        <x:v>S71</x:v>
      </x:c>
      <x:c r="B76" s="317" t="str">
        <x:v>IEEE smart transducer / TEDS</x:v>
      </x:c>
      <x:c r="C76" s="317" t="str">
        <x:v>IEEE 1451.0-2024 smart transducer common standard</x:v>
      </x:c>
      <x:c r="D76" s="317" t="str">
        <x:v>IEEE SA</x:v>
      </x:c>
      <x:c r="E76" s="317" t="str">
        <x:v>IEEE 1451.0-2024</x:v>
      </x:c>
      <x:c r="F76" s="317" t="str">
        <x:v>2024</x:v>
      </x:c>
      <x:c r="G76" s="317" t="str">
        <x:v>Normative access gate; publication / proxies only</x:v>
      </x:c>
      <x:c r="H76" s="317" t="str">
        <x:v>Official IEEE scope/status; full normative edition NOT obtained; current Playground used as indirect evidence</x:v>
      </x:c>
      <x:c r="I76" s="317" t="str">
        <x:v>Priority modern technical edition for transducer-specific capability content, distinct from the entire physical sensing system.</x:v>
      </x:c>
      <x:c r="J76" s="317" t="str">
        <x:v>Candidate transducer-domain semantics; normative clause access pending</x:v>
      </x:c>
      <x:c r="K76" s="317" t="str">
        <x:v>https://standards.ieee.org/ieee/1451.0/11001/</x:v>
      </x:c>
      <x:c r="L76" s="317" t="str">
        <x:v>2026-10-14</x:v>
      </x:c>
      <x:c r="M76" s="317" t="str">
        <x:v>IEEE Pass 1A public-source technical reconstruction, 14 October 2026</x:v>
      </x:c>
      <x:c r="N76" s="317" t="str">
        <x:v>Yes</x:v>
      </x:c>
    </x:row>
    <x:row r="77" ht="74" customHeight="1">
      <x:c r="A77" s="316" t="str">
        <x:v>S72</x:v>
      </x:c>
      <x:c r="B77" s="317" t="str">
        <x:v>IEEE smart transducer / TEDS</x:v>
      </x:c>
      <x:c r="C77" s="317" t="str">
        <x:v>ISO/IEC/IEEE 21450:2010 smart transducer common functions</x:v>
      </x:c>
      <x:c r="D77" s="317" t="str">
        <x:v>ISO/IEC/IEEE</x:v>
      </x:c>
      <x:c r="E77" s="317" t="str">
        <x:v>21450:2010, edition 1</x:v>
      </x:c>
      <x:c r="F77" s="317" t="str">
        <x:v>2010</x:v>
      </x:c>
      <x:c r="G77" s="317" t="str">
        <x:v>Normative access gate; publication / proxies only</x:v>
      </x:c>
      <x:c r="H77" s="317" t="str">
        <x:v>Official catalogue scope and confirmation, full normative text inaccessible during IEEE Pass 1A</x:v>
      </x:c>
      <x:c r="I77" s="317" t="str">
        <x:v>Required version-to-version comparator before choosing whether to depend on the revised 2024 edition.</x:v>
      </x:c>
      <x:c r="J77" s="317" t="str">
        <x:v>Candidate transducer-domain semantics; normative clause access pending</x:v>
      </x:c>
      <x:c r="K77" s="317" t="str">
        <x:v>https://www.iso.org/standard/54356.html</x:v>
      </x:c>
      <x:c r="L77" s="317" t="str">
        <x:v>2026-10-14</x:v>
      </x:c>
      <x:c r="M77" s="317" t="str">
        <x:v>IEEE Pass 1A public-source technical reconstruction, 14 October 2026</x:v>
      </x:c>
      <x:c r="N77" s="317" t="str">
        <x:v>Yes</x:v>
      </x:c>
    </x:row>
    <x:row r="78" ht="74" customHeight="1">
      <x:c r="A78" s="316" t="str">
        <x:v>S73</x:v>
      </x:c>
      <x:c r="B78" s="317" t="str">
        <x:v>IEEE smart transducer / TEDS</x:v>
      </x:c>
      <x:c r="C78" s="317" t="str">
        <x:v>ISO/IEC/IEEE 21451-1:2010 NCAP information model</x:v>
      </x:c>
      <x:c r="D78" s="317" t="str">
        <x:v>ISO/IEC/IEEE</x:v>
      </x:c>
      <x:c r="E78" s="317" t="str">
        <x:v>21451-1:2010, edition 1</x:v>
      </x:c>
      <x:c r="F78" s="317" t="str">
        <x:v>2010</x:v>
      </x:c>
      <x:c r="G78" s="317" t="str">
        <x:v>Normative access gate; publication / proxies only</x:v>
      </x:c>
      <x:c r="H78" s="317" t="str">
        <x:v>Official catalogue scope and 2025 confirmation, full normative edition not inspected</x:v>
      </x:c>
      <x:c r="I78" s="317" t="str">
        <x:v>Relevant lower-layer native interface comparison and possible equipment-facing semantic donor.</x:v>
      </x:c>
      <x:c r="J78" s="317" t="str">
        <x:v>Candidate transducer-domain semantics; normative clause access pending</x:v>
      </x:c>
      <x:c r="K78" s="317" t="str">
        <x:v>https://www.iso.org/standard/54357.html</x:v>
      </x:c>
      <x:c r="L78" s="317" t="str">
        <x:v>2026-10-14</x:v>
      </x:c>
      <x:c r="M78" s="317" t="str">
        <x:v>IEEE Pass 1A public-source technical reconstruction, 14 October 2026</x:v>
      </x:c>
      <x:c r="N78" s="317" t="str">
        <x:v>Yes</x:v>
      </x:c>
    </x:row>
    <x:row r="79" ht="74" customHeight="1">
      <x:c r="A79" s="316" t="str">
        <x:v>S74</x:v>
      </x:c>
      <x:c r="B79" s="317" t="str">
        <x:v>IEEE smart transducer / TEDS</x:v>
      </x:c>
      <x:c r="C79" s="317" t="str">
        <x:v>ISO/IEC/IEEE 21451-2:2010 digital transducer interface and TEDS</x:v>
      </x:c>
      <x:c r="D79" s="317" t="str">
        <x:v>ISO/IEC/IEEE</x:v>
      </x:c>
      <x:c r="E79" s="317" t="str">
        <x:v>21451-2:2010, edition 1</x:v>
      </x:c>
      <x:c r="F79" s="317" t="str">
        <x:v>2010</x:v>
      </x:c>
      <x:c r="G79" s="317" t="str">
        <x:v>Normative access gate; publication / proxies only</x:v>
      </x:c>
      <x:c r="H79" s="317" t="str">
        <x:v>Official catalogue scope; full normative tables and requirements not available</x:v>
      </x:c>
      <x:c r="I79" s="317" t="str">
        <x:v>Useful detailed lineage when verifying 2024 channel-description continuity and transport-specific material.</x:v>
      </x:c>
      <x:c r="J79" s="317" t="str">
        <x:v>Candidate transducer-domain semantics; normative clause access pending</x:v>
      </x:c>
      <x:c r="K79" s="317" t="str">
        <x:v>https://www.iso.org/standard/54367.html</x:v>
      </x:c>
      <x:c r="L79" s="317" t="str">
        <x:v>2026-10-14</x:v>
      </x:c>
      <x:c r="M79" s="317" t="str">
        <x:v>IEEE Pass 1A public-source technical reconstruction, 14 October 2026</x:v>
      </x:c>
      <x:c r="N79" s="317" t="str">
        <x:v>Yes</x:v>
      </x:c>
    </x:row>
    <x:row r="80" ht="74" customHeight="1">
      <x:c r="A80" s="316" t="str">
        <x:v>S75</x:v>
      </x:c>
      <x:c r="B80" s="317" t="str">
        <x:v>IEEE smart transducer / TEDS</x:v>
      </x:c>
      <x:c r="C80" s="317" t="str">
        <x:v>ISO/IEC/IEEE 21451-4:2010 mixed-mode interface and TEDS</x:v>
      </x:c>
      <x:c r="D80" s="317" t="str">
        <x:v>ISO/IEC/IEEE</x:v>
      </x:c>
      <x:c r="E80" s="317" t="str">
        <x:v>21451-4:2010, edition 1</x:v>
      </x:c>
      <x:c r="F80" s="317" t="str">
        <x:v>2010</x:v>
      </x:c>
      <x:c r="G80" s="317" t="str">
        <x:v>Normative access gate; publication / proxies only</x:v>
      </x:c>
      <x:c r="H80" s="317" t="str">
        <x:v>Official catalogue scope; detailed mixed-mode normative text not available</x:v>
      </x:c>
      <x:c r="I80" s="317" t="str">
        <x:v>Relevant when a native transducer integration uses that modality; not universal CSAPI content.</x:v>
      </x:c>
      <x:c r="J80" s="317" t="str">
        <x:v>Candidate transducer-domain semantics; normative clause access pending</x:v>
      </x:c>
      <x:c r="K80" s="317" t="str">
        <x:v>https://www.iso.org/standard/54368.html</x:v>
      </x:c>
      <x:c r="L80" s="317" t="str">
        <x:v>2026-10-14</x:v>
      </x:c>
      <x:c r="M80" s="317" t="str">
        <x:v>IEEE Pass 1A public-source technical reconstruction, 14 October 2026</x:v>
      </x:c>
      <x:c r="N80" s="317" t="str">
        <x:v>Yes</x:v>
      </x:c>
    </x:row>
    <x:row r="81" ht="74" customHeight="1">
      <x:c r="A81" s="316" t="str">
        <x:v>S76</x:v>
      </x:c>
      <x:c r="B81" s="317" t="str">
        <x:v>IEEE smart transducer / TEDS</x:v>
      </x:c>
      <x:c r="C81" s="317" t="str">
        <x:v>IEEE 1451.1.6 MQTT extension</x:v>
      </x:c>
      <x:c r="D81" s="317" t="str">
        <x:v>IEEE SA</x:v>
      </x:c>
      <x:c r="E81" s="317" t="str">
        <x:v>IEEE 1451.1.6-2025</x:v>
      </x:c>
      <x:c r="F81" s="317" t="str">
        <x:v>2026</x:v>
      </x:c>
      <x:c r="G81" s="317" t="str">
        <x:v>Normative access gate; publication / proxies only</x:v>
      </x:c>
      <x:c r="H81" s="317" t="str">
        <x:v>IEEE publication/status page inspected; full normative clauses not examined</x:v>
      </x:c>
      <x:c r="I81" s="317" t="str">
        <x:v>Informative adjacent protocol option if a native integration requires IEEE MQTT services.</x:v>
      </x:c>
      <x:c r="J81" s="317" t="str">
        <x:v>Candidate transducer-domain semantics; normative clause access pending</x:v>
      </x:c>
      <x:c r="K81" s="317" t="str">
        <x:v>https://standards.ieee.org/ieee/1451.1.6/11619/</x:v>
      </x:c>
      <x:c r="L81" s="317" t="str">
        <x:v>2026-10-14</x:v>
      </x:c>
      <x:c r="M81" s="317" t="str">
        <x:v>IEEE Pass 1A public-source technical reconstruction, 14 October 2026</x:v>
      </x:c>
      <x:c r="N81" s="317" t="str">
        <x:v>Yes</x:v>
      </x:c>
    </x:row>
    <x:row r="82" ht="74" customHeight="1">
      <x:c r="A82" s="316" t="str">
        <x:v>S77</x:v>
      </x:c>
      <x:c r="B82" s="317" t="str">
        <x:v>IEEE smart transducer / TEDS</x:v>
      </x:c>
      <x:c r="C82" s="317" t="str">
        <x:v>IEEE 1451 Playground Meta TEDS</x:v>
      </x:c>
      <x:c r="D82" s="317" t="str">
        <x:v>IEEE 1451 Playground</x:v>
      </x:c>
      <x:c r="E82" s="317" t="str">
        <x:v>Current public Meta TEDS form, inspected 14 Oct 2026</x:v>
      </x:c>
      <x:c r="F82" s="317" t="str">
        <x:v>2024</x:v>
      </x:c>
      <x:c r="G82" s="317" t="str">
        <x:v>Publisher/implementation-linked evidence; licensed clauses pending</x:v>
      </x:c>
      <x:c r="H82" s="317" t="str">
        <x:v>Public implementation-linked form, apparent §6.4 Table 13; NIST describes playground's validation purpose</x:v>
      </x:c>
      <x:c r="I82" s="317" t="str">
        <x:v>Informs transducer identity and meaningful multi-channel grouping without replacing equipment-role links.</x:v>
      </x:c>
      <x:c r="J82" s="317" t="str">
        <x:v>Candidate transducer-domain semantics; normative clause access pending</x:v>
      </x:c>
      <x:c r="K82" s="317" t="str">
        <x:v>https://iml.ubi.pt/playground/docs/ieee1451/teds/meta-teds/</x:v>
      </x:c>
      <x:c r="L82" s="317" t="str">
        <x:v>2026-10-14</x:v>
      </x:c>
      <x:c r="M82" s="317" t="str">
        <x:v>IEEE Pass 1A public-source technical reconstruction, 14 October 2026</x:v>
      </x:c>
      <x:c r="N82" s="317" t="str">
        <x:v>Yes</x:v>
      </x:c>
    </x:row>
    <x:row r="83" ht="74" customHeight="1">
      <x:c r="A83" s="316" t="str">
        <x:v>S78</x:v>
      </x:c>
      <x:c r="B83" s="317" t="str">
        <x:v>IEEE smart transducer / TEDS</x:v>
      </x:c>
      <x:c r="C83" s="317" t="str">
        <x:v>IEEE 1451 Playground TransducerChannel TEDS</x:v>
      </x:c>
      <x:c r="D83" s="317" t="str">
        <x:v>IEEE 1451 Playground</x:v>
      </x:c>
      <x:c r="E83" s="317" t="str">
        <x:v>Current public channel-TEDS form, inspected 14 Oct 2026</x:v>
      </x:c>
      <x:c r="F83" s="317" t="str">
        <x:v>2024</x:v>
      </x:c>
      <x:c r="G83" s="317" t="str">
        <x:v>Normative access gate; publication / proxies only</x:v>
      </x:c>
      <x:c r="H83" s="317" t="str">
        <x:v>Public form with apparent §6.5/Table 19 and detailed candidate fields; full standard missing</x:v>
      </x:c>
      <x:c r="I83" s="317" t="str">
        <x:v>Strongest provisional IEEE source for refining R04 quantitative capability and timing under OGC carriers.</x:v>
      </x:c>
      <x:c r="J83" s="317" t="str">
        <x:v>Candidate transducer-domain semantics; normative clause access pending</x:v>
      </x:c>
      <x:c r="K83" s="317" t="str">
        <x:v>https://iml.ubi.pt/playground/docs/ieee1451/teds/transducer-channel-teds/</x:v>
      </x:c>
      <x:c r="L83" s="317" t="str">
        <x:v>2026-10-14</x:v>
      </x:c>
      <x:c r="M83" s="317" t="str">
        <x:v>IEEE Pass 1A public-source technical reconstruction, 14 October 2026</x:v>
      </x:c>
      <x:c r="N83" s="317" t="str">
        <x:v>Yes</x:v>
      </x:c>
    </x:row>
    <x:row r="84" ht="74" customHeight="1">
      <x:c r="A84" s="316" t="str">
        <x:v>S79</x:v>
      </x:c>
      <x:c r="B84" s="317" t="str">
        <x:v>IEEE smart transducer / TEDS</x:v>
      </x:c>
      <x:c r="C84" s="317" t="str">
        <x:v>IEEE 1451 Playground Optional TEDS</x:v>
      </x:c>
      <x:c r="D84" s="317" t="str">
        <x:v>IEEE 1451 Playground</x:v>
      </x:c>
      <x:c r="E84" s="317" t="str">
        <x:v>Public optional-TEDS pages, inspected 14 Oct 2026</x:v>
      </x:c>
      <x:c r="F84" s="317" t="str">
        <x:v>n.d. / accessed 2026-10-14</x:v>
      </x:c>
      <x:c r="G84" s="317" t="str">
        <x:v>Publisher/implementation-linked evidence; licensed clauses pending</x:v>
      </x:c>
      <x:c r="H84" s="317" t="str">
        <x:v>Public descriptions of calibration, frequency response, identification, location, security and time-sync TEDS</x:v>
      </x:c>
      <x:c r="I84" s="317" t="str">
        <x:v>Supports narrow selective descriptions where provider data exist, not a mandatory all-TEDS profile.</x:v>
      </x:c>
      <x:c r="J84" s="317" t="str">
        <x:v>Candidate transducer-domain semantics; normative clause access pending</x:v>
      </x:c>
      <x:c r="K84" s="317" t="str">
        <x:v>https://iml.ubi.pt/playground/docs/ieee1451/teds/optional-teds/</x:v>
      </x:c>
      <x:c r="L84" s="317" t="str">
        <x:v>2026-10-14</x:v>
      </x:c>
      <x:c r="M84" s="317" t="str">
        <x:v>IEEE Pass 1A public-source technical reconstruction, 14 October 2026</x:v>
      </x:c>
      <x:c r="N84" s="317" t="str">
        <x:v>Yes</x:v>
      </x:c>
    </x:row>
    <x:row r="85" ht="74" customHeight="1">
      <x:c r="A85" s="316" t="str">
        <x:v>S80</x:v>
      </x:c>
      <x:c r="B85" s="317" t="str">
        <x:v>IEEE smart transducer / TEDS</x:v>
      </x:c>
      <x:c r="C85" s="317" t="str">
        <x:v>IEEE 1451 Playground PHY TEDS</x:v>
      </x:c>
      <x:c r="D85" s="317" t="str">
        <x:v>IEEE 1451 Playground</x:v>
      </x:c>
      <x:c r="E85" s="317" t="str">
        <x:v>Public PHY-TEDS page, inspected 14 Oct 2026</x:v>
      </x:c>
      <x:c r="F85" s="317" t="str">
        <x:v>2007</x:v>
      </x:c>
      <x:c r="G85" s="317" t="str">
        <x:v>Publisher/implementation-linked evidence; licensed clauses pending</x:v>
      </x:c>
      <x:c r="H85" s="317" t="str">
        <x:v>Public page visibly cites a family-specific 1451.5-2007 clause</x:v>
      </x:c>
      <x:c r="I85" s="317" t="str">
        <x:v>Low-priority communications comparator, not a transducer-channel core semantic model.</x:v>
      </x:c>
      <x:c r="J85" s="317" t="str">
        <x:v>Candidate transducer-domain semantics; normative clause access pending</x:v>
      </x:c>
      <x:c r="K85" s="317" t="str">
        <x:v>https://iml.ubi.pt/playground/docs/ieee1451/teds/phy-teds/</x:v>
      </x:c>
      <x:c r="L85" s="317" t="str">
        <x:v>2026-10-14</x:v>
      </x:c>
      <x:c r="M85" s="317" t="str">
        <x:v>IEEE Pass 1A public-source technical reconstruction, 14 October 2026</x:v>
      </x:c>
      <x:c r="N85" s="317" t="str">
        <x:v>Yes</x:v>
      </x:c>
    </x:row>
    <x:row r="86" ht="74" customHeight="1">
      <x:c r="A86" s="316" t="str">
        <x:v>S81</x:v>
      </x:c>
      <x:c r="B86" s="317" t="str">
        <x:v>IEEE smart transducer / TEDS</x:v>
      </x:c>
      <x:c r="C86" s="317" t="str">
        <x:v>NIST announcement of IEEE 1451.0-2024</x:v>
      </x:c>
      <x:c r="D86" s="317" t="str">
        <x:v>NIST</x:v>
      </x:c>
      <x:c r="E86" s="317" t="str">
        <x:v>News release 2024-07-01</x:v>
      </x:c>
      <x:c r="F86" s="317" t="str">
        <x:v>2024</x:v>
      </x:c>
      <x:c r="G86" s="317" t="str">
        <x:v>Publisher/implementation-linked evidence; licensed clauses pending</x:v>
      </x:c>
      <x:c r="H86" s="317" t="str">
        <x:v>First-party NIST publication reviewed for scope, leadership and edition significance</x:v>
      </x:c>
      <x:c r="I86" s="317" t="str">
        <x:v>Supports why current edition merits priority technical attention beyond older DISR-listed lineages.</x:v>
      </x:c>
      <x:c r="J86" s="317" t="str">
        <x:v>Candidate transducer-domain semantics; normative clause access pending</x:v>
      </x:c>
      <x:c r="K86" s="317" t="str">
        <x:v>https://www.nist.gov/news-events/news/2024/07/ieee-14510-2024-standard-published-under-leadership-nist-researchers</x:v>
      </x:c>
      <x:c r="L86" s="317" t="str">
        <x:v>2026-10-14</x:v>
      </x:c>
      <x:c r="M86" s="317" t="str">
        <x:v>IEEE Pass 1A public-source technical reconstruction, 14 October 2026</x:v>
      </x:c>
      <x:c r="N86" s="317" t="str">
        <x:v>Yes</x:v>
      </x:c>
    </x:row>
    <x:row r="87" ht="74" customHeight="1">
      <x:c r="A87" s="316" t="str">
        <x:v>S82</x:v>
      </x:c>
      <x:c r="B87" s="317" t="str">
        <x:v>IEEE smart transducer / TEDS</x:v>
      </x:c>
      <x:c r="C87" s="317" t="str">
        <x:v>NIST announcement of IEEE 1451 Playground</x:v>
      </x:c>
      <x:c r="D87" s="317" t="str">
        <x:v>NIST</x:v>
      </x:c>
      <x:c r="E87" s="317" t="str">
        <x:v>News release 2024-12-01</x:v>
      </x:c>
      <x:c r="F87" s="317" t="str">
        <x:v>2024</x:v>
      </x:c>
      <x:c r="G87" s="317" t="str">
        <x:v>Publisher/implementation-linked evidence; licensed clauses pending</x:v>
      </x:c>
      <x:c r="H87" s="317" t="str">
        <x:v>First-party NIST publication explaining Playground and intended validation role</x:v>
      </x:c>
      <x:c r="I87" s="317" t="str">
        <x:v>Gives public-source engineering credibility to reconstructed field lists without granting normative authority to them.</x:v>
      </x:c>
      <x:c r="J87" s="317" t="str">
        <x:v>Candidate transducer-domain semantics; normative clause access pending</x:v>
      </x:c>
      <x:c r="K87" s="317" t="str">
        <x:v>https://www.nist.gov/news-events/news/2024/12/nist-and-university-researchers-present-online-tool-support-ieee-standards</x:v>
      </x:c>
      <x:c r="L87" s="317" t="str">
        <x:v>2026-10-14</x:v>
      </x:c>
      <x:c r="M87" s="317" t="str">
        <x:v>IEEE Pass 1A public-source technical reconstruction, 14 October 2026</x:v>
      </x:c>
      <x:c r="N87" s="317" t="str">
        <x:v>Yes</x:v>
      </x:c>
    </x:row>
    <x:row r="88" ht="74" customHeight="1">
      <x:c r="A88" s="316" t="str">
        <x:v>S83</x:v>
      </x:c>
      <x:c r="B88" s="317" t="str">
        <x:v>IEEE smart transducer / TEDS</x:v>
      </x:c>
      <x:c r="C88" s="317" t="str">
        <x:v>IEEE 1451.0-based WoT ontology paper</x:v>
      </x:c>
      <x:c r="D88" s="317" t="str">
        <x:v>NIST and IEEE research</x:v>
      </x:c>
      <x:c r="E88" s="317" t="str">
        <x:v>2025 publication from IECON 2024</x:v>
      </x:c>
      <x:c r="F88" s="317" t="str">
        <x:v>2025</x:v>
      </x:c>
      <x:c r="G88" s="317" t="str">
        <x:v>Publisher/implementation-linked evidence; licensed clauses pending</x:v>
      </x:c>
      <x:c r="H88" s="317" t="str">
        <x:v>Current technical paper directly assessed in IEEE public-source workstream</x:v>
      </x:c>
      <x:c r="I88" s="317" t="str">
        <x:v>Strong modern precedent for describing IEEE-originated concepts in another Web information model.</x:v>
      </x:c>
      <x:c r="J88" s="317" t="str">
        <x:v>Candidate transducer-domain semantics; normative clause access pending</x:v>
      </x:c>
      <x:c r="K88" s="317" t="str">
        <x:v>https://www.nist.gov/publications/ieee-14510-based-web-thing-wot-ontology</x:v>
      </x:c>
      <x:c r="L88" s="317" t="str">
        <x:v>2026-10-14</x:v>
      </x:c>
      <x:c r="M88" s="317" t="str">
        <x:v>IEEE Pass 1A public-source technical reconstruction, 14 October 2026</x:v>
      </x:c>
      <x:c r="N88" s="317" t="str">
        <x:v>Yes</x:v>
      </x:c>
    </x:row>
    <x:row r="89" ht="74" customHeight="1">
      <x:c r="A89" s="316" t="str">
        <x:v>S84</x:v>
      </x:c>
      <x:c r="B89" s="317" t="str">
        <x:v>IEEE smart transducer / TEDS</x:v>
      </x:c>
      <x:c r="C89" s="317" t="str">
        <x:v>A Unifying Standard for Interfacing Transducers to Networks</x:v>
      </x:c>
      <x:c r="D89" s="317" t="str">
        <x:v>NIST and IEEE research</x:v>
      </x:c>
      <x:c r="E89" s="317" t="str">
        <x:v>Technical paper (2005)</x:v>
      </x:c>
      <x:c r="F89" s="317" t="str">
        <x:v>2005</x:v>
      </x:c>
      <x:c r="G89" s="317" t="str">
        <x:v>Publisher/implementation-linked evidence; licensed clauses pending</x:v>
      </x:c>
      <x:c r="H89" s="317" t="str">
        <x:v>NIST engineering literature assessed for historical 1451.0 design intent</x:v>
      </x:c>
      <x:c r="I89" s="317" t="str">
        <x:v>Useful continuity and intent record between early TEDS forms and 2024 public reconstruction.</x:v>
      </x:c>
      <x:c r="J89" s="317" t="str">
        <x:v>Candidate transducer-domain semantics; normative clause access pending</x:v>
      </x:c>
      <x:c r="K89" s="317" t="str">
        <x:v>https://www.nist.gov/publications/unifying-standard-interfacing-transducers-networks-ieee-14510</x:v>
      </x:c>
      <x:c r="L89" s="317" t="str">
        <x:v>2026-10-14</x:v>
      </x:c>
      <x:c r="M89" s="317" t="str">
        <x:v>IEEE Pass 1A public-source technical reconstruction, 14 October 2026</x:v>
      </x:c>
      <x:c r="N89" s="317" t="str">
        <x:v>Yes</x:v>
      </x:c>
    </x:row>
    <x:row r="90" ht="74" customHeight="1">
      <x:c r="A90" s="316" t="str">
        <x:v>S85</x:v>
      </x:c>
      <x:c r="B90" s="317" t="str">
        <x:v>ISA information model, architecture and ecosystem</x:v>
      </x:c>
      <x:c r="C90" s="317" t="str">
        <x:v>ISA White Paper 6.0</x:v>
      </x:c>
      <x:c r="D90" s="317" t="str">
        <x:v>U.S. Army ISA</x:v>
      </x:c>
      <x:c r="E90" s="317" t="str">
        <x:v>6.0r2 (2023-10-31)</x:v>
      </x:c>
      <x:c r="F90" s="317" t="str">
        <x:v>2023</x:v>
      </x:c>
      <x:c r="G90" s="317" t="str">
        <x:v>Primary ISA PDF—bounded inspection</x:v>
      </x:c>
      <x:c r="H90" s="317" t="str">
        <x:v>Full user-supplied PDF read in ISA Phase 1/2; governance and design sections</x:v>
      </x:c>
      <x:c r="I90" s="317" t="str">
        <x:v>Strong governance precedent for differentiating MERLIN source provenance from acceptance/maturity status.</x:v>
      </x:c>
      <x:c r="J90" s="317" t="str">
        <x:v>Independent ISA comparison; selected semantics only, no native runtime requirement</x:v>
      </x:c>
      <x:c r="K90" s="317" t="str">
        <x:v>local:ISA_White_Paper-6.0r2.pdf</x:v>
      </x:c>
      <x:c r="L90" s="317" t="str">
        <x:v>2026-10-14</x:v>
      </x:c>
      <x:c r="M90" s="317" t="str">
        <x:v>ISA Phase 1 + Phase 2 reports; eleven user-supplied 6.0 PDFs</x:v>
      </x:c>
      <x:c r="N90" s="317" t="str">
        <x:v>Yes</x:v>
      </x:c>
    </x:row>
    <x:row r="91" ht="74" customHeight="1">
      <x:c r="A91" s="316" t="str">
        <x:v>S86</x:v>
      </x:c>
      <x:c r="B91" s="317" t="str">
        <x:v>ISA information model, architecture and ecosystem</x:v>
      </x:c>
      <x:c r="C91" s="317" t="str">
        <x:v>ISA Software Design Document 6.0</x:v>
      </x:c>
      <x:c r="D91" s="317" t="str">
        <x:v>U.S. Army ISA</x:v>
      </x:c>
      <x:c r="E91" s="317" t="str">
        <x:v>6.0r5 (2023-10-31)</x:v>
      </x:c>
      <x:c r="F91" s="317" t="str">
        <x:v>2023</x:v>
      </x:c>
      <x:c r="G91" s="317" t="str">
        <x:v>Primary ISA PDF—bounded inspection</x:v>
      </x:c>
      <x:c r="H91" s="317" t="str">
        <x:v>Full user-supplied PDF inspected, esp. §4.2.2 composition</x:v>
      </x:c>
      <x:c r="I91" s="317" t="str">
        <x:v>Informs potential adapter/representation provenance distinct from physical composition and communications access.</x:v>
      </x:c>
      <x:c r="J91" s="317" t="str">
        <x:v>Independent ISA comparison; selected semantics only, no native runtime requirement</x:v>
      </x:c>
      <x:c r="K91" s="317" t="str">
        <x:v>local:ISA_Software_Design_Document-6.0r5.pdf</x:v>
      </x:c>
      <x:c r="L91" s="317" t="str">
        <x:v>2026-10-14</x:v>
      </x:c>
      <x:c r="M91" s="317" t="str">
        <x:v>ISA Phase 1 + Phase 2 reports; eleven user-supplied 6.0 PDFs</x:v>
      </x:c>
      <x:c r="N91" s="317" t="str">
        <x:v>Yes</x:v>
      </x:c>
    </x:row>
    <x:row r="92" ht="74" customHeight="1">
      <x:c r="A92" s="316" t="str">
        <x:v>S87</x:v>
      </x:c>
      <x:c r="B92" s="317" t="str">
        <x:v>ISA information model, architecture and ecosystem</x:v>
      </x:c>
      <x:c r="C92" s="317" t="str">
        <x:v>ISA Data Model Specification 6.0</x:v>
      </x:c>
      <x:c r="D92" s="317" t="str">
        <x:v>U.S. Army ISA</x:v>
      </x:c>
      <x:c r="E92" s="317" t="str">
        <x:v>6.0r12 (2023-10-31)</x:v>
      </x:c>
      <x:c r="F92" s="317" t="str">
        <x:v>2023</x:v>
      </x:c>
      <x:c r="G92" s="317" t="str">
        <x:v>Primary ISA PDF—bounded inspection</x:v>
      </x:c>
      <x:c r="H92" s="317" t="str">
        <x:v>Full PDF assessed in Phase 1/2, including CCD, Config/Status, commands, observables, resource descriptor</x:v>
      </x:c>
      <x:c r="I92" s="317" t="str">
        <x:v>Useful conceptual check against current R04/R09–R12, not a function-level schema to copy into MERLIN.</x:v>
      </x:c>
      <x:c r="J92" s="317" t="str">
        <x:v>ISA component/capability semantics inform approved identity/mode mappings; no native ISA runtime.</x:v>
      </x:c>
      <x:c r="K92" s="317" t="str">
        <x:v>local:ISA_Data_Model_Specification-6.0r12.pdf</x:v>
      </x:c>
      <x:c r="L92" s="317" t="str">
        <x:v>2026-10-14</x:v>
      </x:c>
      <x:c r="M92" s="317" t="str">
        <x:v>ISA Phase 1 + Phase 2 reports; eleven user-supplied 6.0 PDFs | 17 Oct update: Component Capability Description used as coherence comparator; no copied universal CCD group.</x:v>
      </x:c>
      <x:c r="N92" s="317" t="str">
        <x:v>Yes</x:v>
      </x:c>
    </x:row>
    <x:row r="93" ht="74" customHeight="1">
      <x:c r="A93" s="316" t="str">
        <x:v>S88</x:v>
      </x:c>
      <x:c r="B93" s="317" t="str">
        <x:v>ISA information model, architecture and ecosystem</x:v>
      </x:c>
      <x:c r="C93" s="317" t="str">
        <x:v>ISA Component Requirements 6.0</x:v>
      </x:c>
      <x:c r="D93" s="317" t="str">
        <x:v>U.S. Army ISA</x:v>
      </x:c>
      <x:c r="E93" s="317" t="str">
        <x:v>6.0r4 (2023-10-31)</x:v>
      </x:c>
      <x:c r="F93" s="317" t="str">
        <x:v>2023</x:v>
      </x:c>
      <x:c r="G93" s="317" t="str">
        <x:v>Primary ISA PDF—bounded inspection</x:v>
      </x:c>
      <x:c r="H93" s="317" t="str">
        <x:v>Full PDF checked for mandatory behavior and ready/reporting semantics in Phase 2</x:v>
      </x:c>
      <x:c r="I93" s="317" t="str">
        <x:v>Corrects misleading assumption that a command-ready indicator always means immediate execution.</x:v>
      </x:c>
      <x:c r="J93" s="317" t="str">
        <x:v>ISA readiness and command distinctions inform approved R12 and mode/product interpretation.</x:v>
      </x:c>
      <x:c r="K93" s="317" t="str">
        <x:v>local:ISA_Component_Requirements-6.0r4.pdf</x:v>
      </x:c>
      <x:c r="L93" s="317" t="str">
        <x:v>2026-10-14</x:v>
      </x:c>
      <x:c r="M93" s="317" t="str">
        <x:v>ISA Phase 1 + Phase 2 reports; eleven user-supplied 6.0 PDFs | 17 Oct update: CMPT-L-0072: command ready is enabled, not necessarily available; no universal readiness flag added.</x:v>
      </x:c>
      <x:c r="N93" s="317" t="str">
        <x:v>Yes</x:v>
      </x:c>
    </x:row>
    <x:row r="94" ht="74" customHeight="1">
      <x:c r="A94" s="316" t="str">
        <x:v>S89</x:v>
      </x:c>
      <x:c r="B94" s="317" t="str">
        <x:v>ISA information model, architecture and ecosystem</x:v>
      </x:c>
      <x:c r="C94" s="317" t="str">
        <x:v>ISA Interface Control Document 6.0</x:v>
      </x:c>
      <x:c r="D94" s="317" t="str">
        <x:v>U.S. Army ISA</x:v>
      </x:c>
      <x:c r="E94" s="317" t="str">
        <x:v>6.0r5 (2023-10-31)</x:v>
      </x:c>
      <x:c r="F94" s="317" t="str">
        <x:v>2023</x:v>
      </x:c>
      <x:c r="G94" s="317" t="str">
        <x:v>Primary ISA PDF—selected evidence</x:v>
      </x:c>
      <x:c r="H94" s="317" t="str">
        <x:v>User-supplied PDF examined for interface and wire-communication obligations</x:v>
      </x:c>
      <x:c r="I94" s="317" t="str">
        <x:v>Provides conformance boundary for any claim of native ISA implementation or bridge.</x:v>
      </x:c>
      <x:c r="J94" s="317" t="str">
        <x:v>Independent ISA comparison; selected semantics only, no native runtime requirement</x:v>
      </x:c>
      <x:c r="K94" s="317" t="str">
        <x:v>local:ISA_Interface_Control_Document-6.0r5.pdf</x:v>
      </x:c>
      <x:c r="L94" s="317" t="str">
        <x:v>2026-10-14</x:v>
      </x:c>
      <x:c r="M94" s="317" t="str">
        <x:v>ISA Phase 1 + Phase 2 reports; eleven user-supplied 6.0 PDFs</x:v>
      </x:c>
      <x:c r="N94" s="317" t="str">
        <x:v>Yes</x:v>
      </x:c>
    </x:row>
    <x:row r="95" ht="74" customHeight="1">
      <x:c r="A95" s="316" t="str">
        <x:v>S90</x:v>
      </x:c>
      <x:c r="B95" s="317" t="str">
        <x:v>ISA information model, architecture and ecosystem</x:v>
      </x:c>
      <x:c r="C95" s="317" t="str">
        <x:v>ISA Data Model Topics 6.0</x:v>
      </x:c>
      <x:c r="D95" s="317" t="str">
        <x:v>U.S. Army ISA</x:v>
      </x:c>
      <x:c r="E95" s="317" t="str">
        <x:v>6.0r2 (2023-10-31)</x:v>
      </x:c>
      <x:c r="F95" s="317" t="str">
        <x:v>2023</x:v>
      </x:c>
      <x:c r="G95" s="317" t="str">
        <x:v>Primary ISA PDF—bounded inspection</x:v>
      </x:c>
      <x:c r="H95" s="317" t="str">
        <x:v>Full document reviewed for mutability, event updates and resource descriptors</x:v>
      </x:c>
      <x:c r="I95" s="317" t="str">
        <x:v>Concrete conceptual source for profile rules on configuration, action and optional observation lineage.</x:v>
      </x:c>
      <x:c r="J95" s="317" t="str">
        <x:v>ISA assignment/actuation and correction/recall/resolution/track distinctions reflected in approved guidance.</x:v>
      </x:c>
      <x:c r="K95" s="317" t="str">
        <x:v>local:ISA_Data_Model_Topics-6.0r2.pdf</x:v>
      </x:c>
      <x:c r="L95" s="317" t="str">
        <x:v>2026-10-14</x:v>
      </x:c>
      <x:c r="M95" s="317" t="str">
        <x:v>ISA Phase 1 + Phase 2 reports; eleven user-supplied 6.0 PDFs | 17 Oct update: R11 v0.3.5 preserves source semantics; no cross-donor universal lineage binding.</x:v>
      </x:c>
      <x:c r="N95" s="317" t="str">
        <x:v>Yes</x:v>
      </x:c>
    </x:row>
    <x:row r="96" ht="74" customHeight="1">
      <x:c r="A96" s="316" t="str">
        <x:v>S91</x:v>
      </x:c>
      <x:c r="B96" s="317" t="str">
        <x:v>ISA information model, architecture and ecosystem</x:v>
      </x:c>
      <x:c r="C96" s="317" t="str">
        <x:v>ISA Controller Requirements 6.0</x:v>
      </x:c>
      <x:c r="D96" s="317" t="str">
        <x:v>U.S. Army ISA</x:v>
      </x:c>
      <x:c r="E96" s="317" t="str">
        <x:v>6.0r4 (2023-10-31)</x:v>
      </x:c>
      <x:c r="F96" s="317" t="str">
        <x:v>2023</x:v>
      </x:c>
      <x:c r="G96" s="317" t="str">
        <x:v>Primary ISA PDF—selected evidence</x:v>
      </x:c>
      <x:c r="H96" s="317" t="str">
        <x:v>Complete PDF supplied and reviewed in Phase 1; not re-audited clause-by-clause in Phase 2</x:v>
      </x:c>
      <x:c r="I96" s="317" t="str">
        <x:v>Relevant boundary condition if comparing a full ISA deployment against CSAPI servers and clients.</x:v>
      </x:c>
      <x:c r="J96" s="317" t="str">
        <x:v>Independent ISA comparison; selected semantics only, no native runtime requirement</x:v>
      </x:c>
      <x:c r="K96" s="317" t="str">
        <x:v>local:ISA_Controller_Requirements-6.0r4.pdf</x:v>
      </x:c>
      <x:c r="L96" s="317" t="str">
        <x:v>2026-10-14</x:v>
      </x:c>
      <x:c r="M96" s="317" t="str">
        <x:v>ISA Phase 1 + Phase 2 reports; eleven user-supplied 6.0 PDFs</x:v>
      </x:c>
      <x:c r="N96" s="317" t="str">
        <x:v>Yes</x:v>
      </x:c>
    </x:row>
    <x:row r="97" ht="74" customHeight="1">
      <x:c r="A97" s="316" t="str">
        <x:v>S92</x:v>
      </x:c>
      <x:c r="B97" s="317" t="str">
        <x:v>ISA information model, architecture and ecosystem</x:v>
      </x:c>
      <x:c r="C97" s="317" t="str">
        <x:v>ISA Introductory Guide 6.0</x:v>
      </x:c>
      <x:c r="D97" s="317" t="str">
        <x:v>U.S. Army ISA</x:v>
      </x:c>
      <x:c r="E97" s="317" t="str">
        <x:v>6.0r2 (2023-10-31)</x:v>
      </x:c>
      <x:c r="F97" s="317" t="str">
        <x:v>2023</x:v>
      </x:c>
      <x:c r="G97" s="317" t="str">
        <x:v>Primary ISA PDF—bounded inspection</x:v>
      </x:c>
      <x:c r="H97" s="317" t="str">
        <x:v>Entire guide supplied and reviewed for terminology and introduction</x:v>
      </x:c>
      <x:c r="I97" s="317" t="str">
        <x:v>Supporting background when reading exact Data Model or software design provisions.</x:v>
      </x:c>
      <x:c r="J97" s="317" t="str">
        <x:v>Independent ISA comparison; selected semantics only, no native runtime requirement</x:v>
      </x:c>
      <x:c r="K97" s="317" t="str">
        <x:v>local:ISA_Introductory_Guide-6.0r2.pdf</x:v>
      </x:c>
      <x:c r="L97" s="317" t="str">
        <x:v>2026-10-14</x:v>
      </x:c>
      <x:c r="M97" s="317" t="str">
        <x:v>ISA Phase 1 + Phase 2 reports; eleven user-supplied 6.0 PDFs</x:v>
      </x:c>
      <x:c r="N97" s="317" t="str">
        <x:v>Yes</x:v>
      </x:c>
    </x:row>
    <x:row r="98" ht="74" customHeight="1">
      <x:c r="A98" s="316" t="str">
        <x:v>S93</x:v>
      </x:c>
      <x:c r="B98" s="317" t="str">
        <x:v>ISA information model, architecture and ecosystem</x:v>
      </x:c>
      <x:c r="C98" s="317" t="str">
        <x:v>ISA Data Query Language Users Guide 6.0</x:v>
      </x:c>
      <x:c r="D98" s="317" t="str">
        <x:v>U.S. Army ISA</x:v>
      </x:c>
      <x:c r="E98" s="317" t="str">
        <x:v>6.0r4 (2023-10-31)</x:v>
      </x:c>
      <x:c r="F98" s="317" t="str">
        <x:v>2023</x:v>
      </x:c>
      <x:c r="G98" s="317" t="str">
        <x:v>Primary ISA PDF—bounded inspection</x:v>
      </x:c>
      <x:c r="H98" s="317" t="str">
        <x:v>Full guide supplied; examined primarily for data-discovery/query architecture</x:v>
      </x:c>
      <x:c r="I98" s="317" t="str">
        <x:v>Useful full-stack comparator to the existing OGC query/collection API.</x:v>
      </x:c>
      <x:c r="J98" s="317" t="str">
        <x:v>Independent ISA comparison; selected semantics only, no native runtime requirement</x:v>
      </x:c>
      <x:c r="K98" s="317" t="str">
        <x:v>local:ISA_Data_Query_Language_Users_Guide-6.0r4.pdf</x:v>
      </x:c>
      <x:c r="L98" s="317" t="str">
        <x:v>2026-10-14</x:v>
      </x:c>
      <x:c r="M98" s="317" t="str">
        <x:v>ISA Phase 1 + Phase 2 reports; eleven user-supplied 6.0 PDFs</x:v>
      </x:c>
      <x:c r="N98" s="317" t="str">
        <x:v>Yes</x:v>
      </x:c>
    </x:row>
    <x:row r="99" ht="74" customHeight="1">
      <x:c r="A99" s="316" t="str">
        <x:v>S94</x:v>
      </x:c>
      <x:c r="B99" s="317" t="str">
        <x:v>ISA information model, architecture and ecosystem</x:v>
      </x:c>
      <x:c r="C99" s="317" t="str">
        <x:v>ISA IPL3 Usage Guide 6.0</x:v>
      </x:c>
      <x:c r="D99" s="317" t="str">
        <x:v>U.S. Army ISA</x:v>
      </x:c>
      <x:c r="E99" s="317" t="str">
        <x:v>6.0r4 (2023-10-31)</x:v>
      </x:c>
      <x:c r="F99" s="317" t="str">
        <x:v>2023</x:v>
      </x:c>
      <x:c r="G99" s="317" t="str">
        <x:v>Primary ISA PDF—selected evidence</x:v>
      </x:c>
      <x:c r="H99" s="317" t="str">
        <x:v>Complete guide supplied and included in assessment; targeted contextual review</x:v>
      </x:c>
      <x:c r="I99" s="317" t="str">
        <x:v>Retained to document native compliance and interoperability obligations, not selected MERLIN model content.</x:v>
      </x:c>
      <x:c r="J99" s="317" t="str">
        <x:v>Independent ISA comparison; selected semantics only, no native runtime requirement</x:v>
      </x:c>
      <x:c r="K99" s="317" t="str">
        <x:v>local:ISA_IPL3_Usage_Guide-6.0r4.pdf</x:v>
      </x:c>
      <x:c r="L99" s="317" t="str">
        <x:v>2026-10-14</x:v>
      </x:c>
      <x:c r="M99" s="317" t="str">
        <x:v>ISA Phase 1 + Phase 2 reports; eleven user-supplied 6.0 PDFs</x:v>
      </x:c>
      <x:c r="N99" s="317" t="str">
        <x:v>Yes</x:v>
      </x:c>
    </x:row>
    <x:row r="100" ht="74" customHeight="1">
      <x:c r="A100" s="316" t="str">
        <x:v>S95</x:v>
      </x:c>
      <x:c r="B100" s="317" t="str">
        <x:v>ISA information model, architecture and ecosystem</x:v>
      </x:c>
      <x:c r="C100" s="317" t="str">
        <x:v>ISA Certificate Usage Guide 6.0</x:v>
      </x:c>
      <x:c r="D100" s="317" t="str">
        <x:v>U.S. Army ISA</x:v>
      </x:c>
      <x:c r="E100" s="317" t="str">
        <x:v>6.0r2 (2023-10-31)</x:v>
      </x:c>
      <x:c r="F100" s="317" t="str">
        <x:v>2023</x:v>
      </x:c>
      <x:c r="G100" s="317" t="str">
        <x:v>Primary ISA PDF—selected evidence</x:v>
      </x:c>
      <x:c r="H100" s="317" t="str">
        <x:v>Complete PDF supplied; reviewed for architecture/security context</x:v>
      </x:c>
      <x:c r="I100" s="317" t="str">
        <x:v>Contextual source for a competing full stack's implementation cost and security boundary.</x:v>
      </x:c>
      <x:c r="J100" s="317" t="str">
        <x:v>Independent ISA comparison; selected semantics only, no native runtime requirement</x:v>
      </x:c>
      <x:c r="K100" s="317" t="str">
        <x:v>local:ISA_Certificate_Usage_Guide-6.0r2.pdf</x:v>
      </x:c>
      <x:c r="L100" s="317" t="str">
        <x:v>2026-10-14</x:v>
      </x:c>
      <x:c r="M100" s="317" t="str">
        <x:v>ISA Phase 1 + Phase 2 reports; eleven user-supplied 6.0 PDFs</x:v>
      </x:c>
      <x:c r="N100" s="317" t="str">
        <x:v>Yes</x:v>
      </x:c>
    </x:row>
    <x:row r="101" ht="74" customHeight="1">
      <x:c r="A101" s="316" t="str">
        <x:v>S96</x:v>
      </x:c>
      <x:c r="B101" s="317" t="str">
        <x:v>Research methods and implementation boundaries</x:v>
      </x:c>
      <x:c r="C101" s="317" t="str">
        <x:v>On the Difference between Information Models and Data Models</x:v>
      </x:c>
      <x:c r="D101" s="317" t="str">
        <x:v>IETF</x:v>
      </x:c>
      <x:c r="E101" s="317" t="str">
        <x:v>RFC 3444 (2003)</x:v>
      </x:c>
      <x:c r="F101" s="317" t="str">
        <x:v>2003</x:v>
      </x:c>
      <x:c r="G101" s="317" t="str">
        <x:v>Source consulted or compared at bounded depth</x:v>
      </x:c>
      <x:c r="H101" s="317" t="str">
        <x:v>Published Informational RFC §§2–3 reviewed during ISA Phase 2</x:v>
      </x:c>
      <x:c r="I101" s="317" t="str">
        <x:v>Methodological basis for the project's layered domain-information-model-to-OGC-profile approach.</x:v>
      </x:c>
      <x:c r="J101" s="317" t="str">
        <x:v>Complementary research and design precedent</x:v>
      </x:c>
      <x:c r="K101" s="317" t="str">
        <x:v>https://www.rfc-editor.org/rfc/rfc3444.html</x:v>
      </x:c>
      <x:c r="L101" s="317" t="str">
        <x:v>2026-10-14</x:v>
      </x:c>
      <x:c r="M101" s="317" t="str">
        <x:v>Main profile v0.3.1 and standards-pedigree primer, plus ISA/power references</x:v>
      </x:c>
      <x:c r="N101" s="317" t="str">
        <x:v>Yes</x:v>
      </x:c>
    </x:row>
    <x:row r="102" ht="74" customHeight="1">
      <x:c r="A102" s="316" t="str">
        <x:v>S97</x:v>
      </x:c>
      <x:c r="B102" s="317" t="str">
        <x:v>Foundational observation and semantic models</x:v>
      </x:c>
      <x:c r="C102" s="317" t="str">
        <x:v>OGC Observations Measurements and Samples 3.0</x:v>
      </x:c>
      <x:c r="D102" s="317" t="str">
        <x:v>OGC</x:v>
      </x:c>
      <x:c r="E102" s="317" t="str">
        <x:v>OGC 20-082r4, v3.0.0 (2023); ISO 19156:2023 alignment</x:v>
      </x:c>
      <x:c r="F102" s="317" t="str">
        <x:v>2023</x:v>
      </x:c>
      <x:c r="G102" s="317" t="str">
        <x:v>SOURCE ACCESS CLOSED — full primary PDF reviewed in completed OMS study.</x:v>
      </x:c>
      <x:c r="H102" s="317" t="str">
        <x:v>Complete approved OGC 20-082r4 v3.0.0, 198-page supplied PDF; §§4–13 and Annex A inspected in 15 Oct OMS study.</x:v>
      </x:c>
      <x:c r="I102" s="317" t="str">
        <x:v>Strong foundational model for avoiding confusion among produced data, process descriptions and deployment participation.</x:v>
      </x:c>
      <x:c r="J102" s="317" t="str">
        <x:v>Semantic clarification partly applied through v0.3.5; no mandatory OMS runtime or ObservingCapability binding.</x:v>
      </x:c>
      <x:c r="K102" s="317" t="str">
        <x:v>https://docs.ogc.org/as/20-082r4/20-082r4.html</x:v>
      </x:c>
      <x:c r="L102" s="317" t="str">
        <x:v>2026-10-15; consolidated 2026-10-17</x:v>
      </x:c>
      <x:c r="M102" s="317" t="str">
        <x:v>Completed OMS A–D v1.0; SHA-256 6eefa8dd843d5a8c2dc29e481bf693d1b6d83ee1f96e065db4c1eed204cabebf; supersedes 14 Oct access limit.</x:v>
      </x:c>
      <x:c r="N102" s="317" t="str">
        <x:v>Yes</x:v>
      </x:c>
    </x:row>
    <x:row r="103" ht="74" customHeight="1">
      <x:c r="A103" s="316" t="str">
        <x:v>S98</x:v>
      </x:c>
      <x:c r="B103" s="317" t="str">
        <x:v>Foundational observation and semantic models</x:v>
      </x:c>
      <x:c r="C103" s="317" t="str">
        <x:v>Observation and Sampling of a Smiley Face</x:v>
      </x:c>
      <x:c r="D103" s="317" t="str">
        <x:v>OGC</x:v>
      </x:c>
      <x:c r="E103" s="317" t="str">
        <x:v>OGC 25-038 (2026)</x:v>
      </x:c>
      <x:c r="F103" s="317" t="str">
        <x:v>2026</x:v>
      </x:c>
      <x:c r="G103" s="317" t="str">
        <x:v>Source consulted or compared at bounded depth</x:v>
      </x:c>
      <x:c r="H103" s="317" t="str">
        <x:v>Complete user-supplied 26-page OGC technical paper read, pp.8–22 especially</x:v>
      </x:c>
      <x:c r="I103" s="317" t="str">
        <x:v>Valuable informative explanation of what an OMS model might imply for R10–R11 and capabilities.</x:v>
      </x:c>
      <x:c r="J103" s="317" t="str">
        <x:v>Semantic clarification / targeted mapping source, no new ontology runtime</x:v>
      </x:c>
      <x:c r="K103" s="317" t="str">
        <x:v>local:25-038.pdf</x:v>
      </x:c>
      <x:c r="L103" s="317" t="str">
        <x:v>2026-10-14</x:v>
      </x:c>
      <x:c r="M103" s="317" t="str">
        <x:v>Foundational-semantics assessment A and evidence register D, 14 October 2026</x:v>
      </x:c>
      <x:c r="N103" s="317" t="str">
        <x:v>Yes</x:v>
      </x:c>
    </x:row>
    <x:row r="104" ht="74" customHeight="1">
      <x:c r="A104" s="316" t="str">
        <x:v>S99</x:v>
      </x:c>
      <x:c r="B104" s="317" t="str">
        <x:v>Foundational observation and semantic models</x:v>
      </x:c>
      <x:c r="C104" s="317" t="str">
        <x:v>SOSA/SSN 2026 Working Draft</x:v>
      </x:c>
      <x:c r="D104" s="317" t="str">
        <x:v>W3C and OGC</x:v>
      </x:c>
      <x:c r="E104" s="317" t="str">
        <x:v>Working Draft 2026-10-12</x:v>
      </x:c>
      <x:c r="F104" s="317" t="str">
        <x:v>2026</x:v>
      </x:c>
      <x:c r="G104" s="317" t="str">
        <x:v>Working Draft—non-final</x:v>
      </x:c>
      <x:c r="H104" s="317" t="str">
        <x:v>Official Working Draft §§5.3–5.6, 6.1, 7.3.1 and non-normative appendix D inspected</x:v>
      </x:c>
      <x:c r="I104" s="317" t="str">
        <x:v>Best contemporary comparator for exact relationship meaning, without identifying ontology predicates as CSAPI fields.</x:v>
      </x:c>
      <x:c r="J104" s="317" t="str">
        <x:v>Existing pinned SSN Working Draft retained; lineage/alignment evidence added without duplicate S ID.</x:v>
      </x:c>
      <x:c r="K104" s="317" t="str">
        <x:v>https://www.w3.org/TR/2026/WD-vocab-ssn-2023-20261012/</x:v>
      </x:c>
      <x:c r="L104" s="317" t="str">
        <x:v>2026-10-14</x:v>
      </x:c>
      <x:c r="M104" s="317" t="str">
        <x:v>Foundational-semantics assessment A and evidence register D, 14 October 2026 | 17 Oct update: Add §7.1–7.3 and Annex E lineage scope. Ontology alignment axioms are distinct from non-OWL CSAPI correspondence tables; draft remains non-final.</x:v>
      </x:c>
      <x:c r="N104" s="317" t="str">
        <x:v>Yes</x:v>
      </x:c>
    </x:row>
    <x:row r="105" ht="74" customHeight="1">
      <x:c r="A105" s="316" t="str">
        <x:v>S100</x:v>
      </x:c>
      <x:c r="B105" s="317" t="str">
        <x:v>Foundational observation and semantic models</x:v>
      </x:c>
      <x:c r="C105" s="317" t="str">
        <x:v>I-ADOPT WG Outputs and Recommendations</x:v>
      </x:c>
      <x:c r="D105" s="317" t="str">
        <x:v>Research Data Alliance</x:v>
      </x:c>
      <x:c r="E105" s="317" t="str">
        <x:v>RDA 2022 v1.1.0</x:v>
      </x:c>
      <x:c r="F105" s="317" t="str">
        <x:v>2022</x:v>
      </x:c>
      <x:c r="G105" s="317" t="str">
        <x:v>Source consulted or compared at bounded depth</x:v>
      </x:c>
      <x:c r="H105" s="317" t="str">
        <x:v>DOI/catalogue and bibliography verified in foundational review; full report not comprehensively inspected</x:v>
      </x:c>
      <x:c r="I105" s="317" t="str">
        <x:v>Relevant community precedent for disambiguating measurement meaning, especially matrix, statistic and object of interest.</x:v>
      </x:c>
      <x:c r="J105" s="317" t="str">
        <x:v>Semantic clarification / targeted mapping source, no new ontology runtime</x:v>
      </x:c>
      <x:c r="K105" s="317" t="str">
        <x:v>https://doi.org/10.15497/RDA00071</x:v>
      </x:c>
      <x:c r="L105" s="317" t="str">
        <x:v>2026-10-14</x:v>
      </x:c>
      <x:c r="M105" s="317" t="str">
        <x:v>Foundational-semantics assessment A and evidence register D, 14 October 2026</x:v>
      </x:c>
      <x:c r="N105" s="317" t="str">
        <x:v>Yes</x:v>
      </x:c>
    </x:row>
    <x:row r="106" ht="74" customHeight="1">
      <x:c r="A106" s="316" t="str">
        <x:v>S101</x:v>
      </x:c>
      <x:c r="B106" s="317" t="str">
        <x:v>Foundational observation and semantic models</x:v>
      </x:c>
      <x:c r="C106" s="317" t="str">
        <x:v>I-ADOPT Framework Ontology 1.1.0</x:v>
      </x:c>
      <x:c r="D106" s="317" t="str">
        <x:v>I-ADOPT</x:v>
      </x:c>
      <x:c r="E106" s="317" t="str">
        <x:v>Ontology v1.1.0</x:v>
      </x:c>
      <x:c r="F106" s="317" t="str">
        <x:v>2025</x:v>
      </x:c>
      <x:c r="G106" s="317" t="str">
        <x:v>Community ontology—specific terms inspected</x:v>
      </x:c>
      <x:c r="H106" s="317" t="str">
        <x:v>Published versioned HTML classes and properties inspected in foundational work</x:v>
      </x:c>
      <x:c r="I106" s="317" t="str">
        <x:v>Candidate for curated definition of a sufficiently ambiguous observed variable, not a new managed sensing-system class.</x:v>
      </x:c>
      <x:c r="J106" s="317" t="str">
        <x:v>Semantic clarification / targeted mapping source, no new ontology runtime</x:v>
      </x:c>
      <x:c r="K106" s="317" t="str">
        <x:v>https://i-adopt.github.io/ontology/</x:v>
      </x:c>
      <x:c r="L106" s="317" t="str">
        <x:v>2026-10-14</x:v>
      </x:c>
      <x:c r="M106" s="317" t="str">
        <x:v>Foundational-semantics assessment A and evidence register D, 14 October 2026</x:v>
      </x:c>
      <x:c r="N106" s="317" t="str">
        <x:v>Yes</x:v>
      </x:c>
    </x:row>
    <x:row r="107" ht="74" customHeight="1">
      <x:c r="A107" s="316" t="str">
        <x:v>S102</x:v>
      </x:c>
      <x:c r="B107" s="317" t="str">
        <x:v>Foundational observation and semantic models</x:v>
      </x:c>
      <x:c r="C107" s="317" t="str">
        <x:v>I-ADOPT 1.1.0 pinned Turtle ontology</x:v>
      </x:c>
      <x:c r="D107" s="317" t="str">
        <x:v>I-ADOPT</x:v>
      </x:c>
      <x:c r="E107" s="317" t="str">
        <x:v>Ontology 1.1.0 commit-pinned</x:v>
      </x:c>
      <x:c r="F107" s="317" t="str">
        <x:v>2025</x:v>
      </x:c>
      <x:c r="G107" s="317" t="str">
        <x:v>Community ontology—specific terms inspected</x:v>
      </x:c>
      <x:c r="H107" s="317" t="str">
        <x:v>Exact versioned Turtle source inspected from repository snapshot, not executed as full reasoner</x:v>
      </x:c>
      <x:c r="I107" s="317" t="str">
        <x:v>Prevents unversioned ontology drift in future profile definition discussions.</x:v>
      </x:c>
      <x:c r="J107" s="317" t="str">
        <x:v>Semantic clarification / targeted mapping source, no new ontology runtime</x:v>
      </x:c>
      <x:c r="K107" s="317" t="str">
        <x:v>https://github.com/i-adopt/ontology/blob/604a560a5826d4c9102060a85eca00b15dc30ef9/ontology/i-adopt_1_1_0.ttl</x:v>
      </x:c>
      <x:c r="L107" s="317" t="str">
        <x:v>2026-10-14</x:v>
      </x:c>
      <x:c r="M107" s="317" t="str">
        <x:v>Foundational-semantics assessment A and evidence register D, 14 October 2026</x:v>
      </x:c>
      <x:c r="N107" s="317" t="str">
        <x:v>Yes</x:v>
      </x:c>
    </x:row>
    <x:row r="108" ht="74" customHeight="1">
      <x:c r="A108" s="316" t="str">
        <x:v>S103</x:v>
      </x:c>
      <x:c r="B108" s="317" t="str">
        <x:v>Foundational observation and semantic models</x:v>
      </x:c>
      <x:c r="C108" s="317" t="str">
        <x:v>I-ADOPT Variable Design Patterns</x:v>
      </x:c>
      <x:c r="D108" s="317" t="str">
        <x:v>I-ADOPT</x:v>
      </x:c>
      <x:c r="E108" s="317" t="str">
        <x:v>Published working patterns repo 2026-10-14</x:v>
      </x:c>
      <x:c r="F108" s="317" t="str">
        <x:v>2026</x:v>
      </x:c>
      <x:c r="G108" s="317" t="str">
        <x:v>Source consulted or compared at bounded depth</x:v>
      </x:c>
      <x:c r="H108" s="317" t="str">
        <x:v>README, quantitative patterns and architecture-decision records identified and selectively reviewed</x:v>
      </x:c>
      <x:c r="I108" s="317" t="str">
        <x:v>Optional practical authoring reference for future curated observed-property definition catalogue.</x:v>
      </x:c>
      <x:c r="J108" s="317" t="str">
        <x:v>Semantic clarification / targeted mapping source, no new ontology runtime</x:v>
      </x:c>
      <x:c r="K108" s="317" t="str">
        <x:v>https://github.com/i-adopt/patterns</x:v>
      </x:c>
      <x:c r="L108" s="317" t="str">
        <x:v>2026-10-14</x:v>
      </x:c>
      <x:c r="M108" s="317" t="str">
        <x:v>Foundational-semantics assessment A and evidence register D, 14 October 2026</x:v>
      </x:c>
      <x:c r="N108" s="317" t="str">
        <x:v>Yes</x:v>
      </x:c>
    </x:row>
    <x:row r="109" ht="74" customHeight="1">
      <x:c r="A109" s="316" t="str">
        <x:v>S104</x:v>
      </x:c>
      <x:c r="B109" s="317" t="str">
        <x:v>Quantity and unit vocabularies</x:v>
      </x:c>
      <x:c r="C109" s="317" t="str">
        <x:v>QUDT Catalog 3.5.2</x:v>
      </x:c>
      <x:c r="D109" s="317" t="str">
        <x:v>QUDT</x:v>
      </x:c>
      <x:c r="E109" s="317" t="str">
        <x:v>Catalog 3.5.2 (2026)</x:v>
      </x:c>
      <x:c r="F109" s="317" t="str">
        <x:v>2026</x:v>
      </x:c>
      <x:c r="G109" s="317" t="str">
        <x:v>Source consulted or compared at bounded depth</x:v>
      </x:c>
      <x:c r="H109" s="317" t="str">
        <x:v>Current official catalog plus selected quantity-kind term inspected</x:v>
      </x:c>
      <x:c r="I109" s="317" t="str">
        <x:v>General meanings like Voltage may be referenced while the profile owns qualified battery-terminal or measurement-point semantics.</x:v>
      </x:c>
      <x:c r="J109" s="317" t="str">
        <x:v>General quantity-kind vocabulary; subject-qualified definitions remain authored</x:v>
      </x:c>
      <x:c r="K109" s="317" t="str">
        <x:v>https://www.qudt.org/catalog/qudt-catalog.html</x:v>
      </x:c>
      <x:c r="L109" s="317" t="str">
        <x:v>2026-10-14</x:v>
      </x:c>
      <x:c r="M109" s="317" t="str">
        <x:v>Foundational-semantics assessment A and evidence register D, 14 October 2026</x:v>
      </x:c>
      <x:c r="N109" s="317" t="str">
        <x:v>Yes</x:v>
      </x:c>
    </x:row>
    <x:row r="110" ht="74" customHeight="1">
      <x:c r="A110" s="316" t="str">
        <x:v>S105</x:v>
      </x:c>
      <x:c r="B110" s="317" t="str">
        <x:v>Environmental domain term vocabularies</x:v>
      </x:c>
      <x:c r="C110" s="317" t="str">
        <x:v>SWEET ontology repository</x:v>
      </x:c>
      <x:c r="D110" s="317" t="str">
        <x:v>ESIP</x:v>
      </x:c>
      <x:c r="E110" s="317" t="str">
        <x:v>SWEET repo state 2026-10-14</x:v>
      </x:c>
      <x:c r="F110" s="317" t="str">
        <x:v>2026</x:v>
      </x:c>
      <x:c r="G110" s="317" t="str">
        <x:v>Source consulted or compared at bounded depth</x:v>
      </x:c>
      <x:c r="H110" s="317" t="str">
        <x:v>Official public ontology repository and selected module hierarchy inspected</x:v>
      </x:c>
      <x:c r="I110" s="317" t="str">
        <x:v>Candidate selective vocabulary support for future environmental or geophysical sensing specializations.</x:v>
      </x:c>
      <x:c r="J110" s="317" t="str">
        <x:v>Optional exact term donor, not mandatory vocabulary or full ontology import</x:v>
      </x:c>
      <x:c r="K110" s="317" t="str">
        <x:v>https://github.com/ESIPFed/sweet</x:v>
      </x:c>
      <x:c r="L110" s="317" t="str">
        <x:v>2026-10-14</x:v>
      </x:c>
      <x:c r="M110" s="317" t="str">
        <x:v>Foundational-semantics assessment A and evidence register D, 14 October 2026</x:v>
      </x:c>
      <x:c r="N110" s="317" t="str">
        <x:v>Yes</x:v>
      </x:c>
    </x:row>
    <x:row r="111" ht="74" customHeight="1">
      <x:c r="A111" s="316" t="str">
        <x:v>S106</x:v>
      </x:c>
      <x:c r="B111" s="317" t="str">
        <x:v>Environmental domain term vocabularies</x:v>
      </x:c>
      <x:c r="C111" s="317" t="str">
        <x:v>SWEET material instrument ontology module</x:v>
      </x:c>
      <x:c r="D111" s="317" t="str">
        <x:v>ESIP</x:v>
      </x:c>
      <x:c r="E111" s="317" t="str">
        <x:v>Inspected module versionInfo 3.6.0</x:v>
      </x:c>
      <x:c r="F111" s="317" t="str">
        <x:v>2026</x:v>
      </x:c>
      <x:c r="G111" s="317" t="str">
        <x:v>Source consulted or compared at bounded depth</x:v>
      </x:c>
      <x:c r="H111" s="317" t="str">
        <x:v>Particular Turtle module inspected from ESIP repository, not all inter-module imports or axioms</x:v>
      </x:c>
      <x:c r="I111" s="317" t="str">
        <x:v>Useful optional controlled terms for specific earth-science devices, not whole-system operational model.</x:v>
      </x:c>
      <x:c r="J111" s="317" t="str">
        <x:v>Optional exact term donor, not mandatory vocabulary or full ontology import</x:v>
      </x:c>
      <x:c r="K111" s="317" t="str">
        <x:v>https://github.com/ESIPFed/sweet/blob/master/src/matrInstrument.ttl</x:v>
      </x:c>
      <x:c r="L111" s="317" t="str">
        <x:v>2026-10-14</x:v>
      </x:c>
      <x:c r="M111" s="317" t="str">
        <x:v>Foundational-semantics assessment A and evidence register D, 14 October 2026</x:v>
      </x:c>
      <x:c r="N111" s="317" t="str">
        <x:v>Yes</x:v>
      </x:c>
    </x:row>
    <x:row r="112" ht="74" customHeight="1">
      <x:c r="A112" s="316" t="str">
        <x:v>S107</x:v>
      </x:c>
      <x:c r="B112" s="317" t="str">
        <x:v>Foundational observation and semantic models</x:v>
      </x:c>
      <x:c r="C112" s="317" t="str">
        <x:v>I-ADOPT OMS extension roadmap</x:v>
      </x:c>
      <x:c r="D112" s="317" t="str">
        <x:v>I-ADOPT</x:v>
      </x:c>
      <x:c r="E112" s="317" t="str">
        <x:v>2026–27 roadmap; access failed</x:v>
      </x:c>
      <x:c r="F112" s="317" t="str">
        <x:v>2026</x:v>
      </x:c>
      <x:c r="G112" s="317" t="str">
        <x:v>Unverified lead / public URL unavailable</x:v>
      </x:c>
      <x:c r="H112" s="317" t="str">
        <x:v>URL attempted in foundational research but content inaccessible; secondary project report only</x:v>
      </x:c>
      <x:c r="I112" s="317" t="str">
        <x:v>Retain as a research lead if OMS profiling later requires a new observed-property mechanism.</x:v>
      </x:c>
      <x:c r="J112" s="317" t="str">
        <x:v>Research lead only; defer pending accessible, released specification</x:v>
      </x:c>
      <x:c r="K112" s="317" t="str">
        <x:v>https://i-adopt.github.io/overview.html</x:v>
      </x:c>
      <x:c r="L112" s="317" t="str">
        <x:v>2026-10-14</x:v>
      </x:c>
      <x:c r="M112" s="317" t="str">
        <x:v>Foundational-semantics assessment A and evidence register D, 14 October 2026</x:v>
      </x:c>
      <x:c r="N112" s="317" t="str">
        <x:v>Yes</x:v>
      </x:c>
    </x:row>
    <x:row r="113" ht="74" customHeight="1">
      <x:c r="A113" s="316" t="str">
        <x:v>S108</x:v>
      </x:c>
      <x:c r="B113" s="317" t="str">
        <x:v>Foundational observation and semantic models</x:v>
      </x:c>
      <x:c r="C113" s="317" t="str">
        <x:v>I-ADOPT patterns playground</x:v>
      </x:c>
      <x:c r="D113" s="317" t="str">
        <x:v>I-ADOPT</x:v>
      </x:c>
      <x:c r="E113" s="317" t="str">
        <x:v>2026 repository state; 14 Oct inspection</x:v>
      </x:c>
      <x:c r="F113" s="317" t="str">
        <x:v>2026</x:v>
      </x:c>
      <x:c r="G113" s="317" t="str">
        <x:v>Source consulted or compared at bounded depth</x:v>
      </x:c>
      <x:c r="H113" s="317" t="str">
        <x:v>Repository README and directory organization verified as current community experiment</x:v>
      </x:c>
      <x:c r="I113" s="317" t="str">
        <x:v>Potential implementation-practice resource when profile term catalogue needs operator-readable variable definitions.</x:v>
      </x:c>
      <x:c r="J113" s="317" t="str">
        <x:v>Semantic clarification / targeted mapping source, no new ontology runtime</x:v>
      </x:c>
      <x:c r="K113" s="317" t="str">
        <x:v>https://github.com/mabablue/I-ADOPT-patterns-playground</x:v>
      </x:c>
      <x:c r="L113" s="317" t="str">
        <x:v>2026-10-14</x:v>
      </x:c>
      <x:c r="M113" s="317" t="str">
        <x:v>Foundational-semantics assessment A and evidence register D, 14 October 2026</x:v>
      </x:c>
      <x:c r="N113" s="317" t="str">
        <x:v>Yes</x:v>
      </x:c>
    </x:row>
    <x:row r="114" ht="74" customHeight="1">
      <x:c r="A114" s="316" t="str">
        <x:v>S109</x:v>
      </x:c>
      <x:c r="B114" s="317" t="str">
        <x:v>Quantity and unit vocabularies</x:v>
      </x:c>
      <x:c r="C114" s="317" t="str">
        <x:v>QUDT quantity kind Concentration</x:v>
      </x:c>
      <x:c r="D114" s="317" t="str">
        <x:v>QUDT</x:v>
      </x:c>
      <x:c r="E114" s="317" t="str">
        <x:v>Individual quantity-kind term, 3.5.1-linked record</x:v>
      </x:c>
      <x:c r="F114" s="317" t="str">
        <x:v>2026</x:v>
      </x:c>
      <x:c r="G114" s="317" t="str">
        <x:v>Source consulted or compared at bounded depth</x:v>
      </x:c>
      <x:c r="H114" s="317" t="str">
        <x:v>Official term page directly inspected in foundational review; term record edition not silently equated with current v3.5.2 catalog</x:v>
      </x:c>
      <x:c r="I114" s="317" t="str">
        <x:v>Valuable negative and qualified-definition case for I-ADOPT composition and specific observedProperty semantics.</x:v>
      </x:c>
      <x:c r="J114" s="317" t="str">
        <x:v>General quantity-kind vocabulary; subject-qualified definitions remain authored</x:v>
      </x:c>
      <x:c r="K114" s="317" t="str">
        <x:v>http://qudt.org/vocab/quantitykind/Concentration</x:v>
      </x:c>
      <x:c r="L114" s="317" t="str">
        <x:v>2026-10-14</x:v>
      </x:c>
      <x:c r="M114" s="317" t="str">
        <x:v>Foundational-semantics assessment A and evidence register D, 14 October 2026</x:v>
      </x:c>
      <x:c r="N114" s="317" t="str">
        <x:v>Yes</x:v>
      </x:c>
    </x:row>
    <x:row r="115" ht="74" customHeight="1">
      <x:c r="A115" s="304" t="str">
        <x:v>S110</x:v>
      </x:c>
      <x:c r="B115" s="304" t="str">
        <x:v>SAPIENT native specification</x:v>
      </x:c>
      <x:c r="C115" s="304" t="str">
        <x:v>SAPIENT Network of Autonomous Sensors and Effectors—Interface Control Document—Specification</x:v>
      </x:c>
      <x:c r="D115" s="304" t="str">
        <x:v>British Standards Institution</x:v>
      </x:c>
      <x:c r="E115" s="304" t="str">
        <x:v>BSI Flex 335 v2.0:2024-03</x:v>
      </x:c>
      <x:c r="F115" s="304" t="str">
        <x:v>2024-03</x:v>
      </x:c>
      <x:c r="G115" s="304" t="str">
        <x:v>Full primary specification reviewed in completed SAPIENT study; this consolidation inherits that inspected evidence.</x:v>
      </x:c>
      <x:c r="H115" s="304" t="str">
        <x:v>§§0–7; especially §§4.10–4.11, 5.5, 6.2–6.5; Tables 13–15, 27, 32, 60, 69, 77, 86–87.</x:v>
      </x:c>
      <x:c r="I115" s="304" t="str">
        <x:v>Native sensor/effector/fusion message model and semantic donor.</x:v>
      </x:c>
      <x:c r="J115" s="304" t="str">
        <x:v>Research source incorporated; selected meanings reflected in v0.3.2–v0.3.5; no mandatory SAPIENT stack.</x:v>
      </x:c>
      <x:c r="K115" s="304" t="str">
        <x:v>https://www.bsigroup.com/siteassets/pdf/en/insights-and-media/insights/brochures/bsi-flex-335.pdf</x:v>
      </x:c>
      <x:c r="L115" s="304" t="str">
        <x:v>2026-10-17 consolidation</x:v>
      </x:c>
      <x:c r="M115" s="304" t="str">
        <x:v>SAPIENT v3 not examined; six study variance records retained; no live adapter.</x:v>
      </x:c>
      <x:c r="N115" s="304" t="str">
        <x:v>Yes</x:v>
      </x:c>
    </x:row>
    <x:row r="116" ht="74" customHeight="1">
      <x:c r="A116" s="304" t="str">
        <x:v>S111</x:v>
      </x:c>
      <x:c r="B116" s="304" t="str">
        <x:v>SAPIENT companion schema</x:v>
      </x:c>
      <x:c r="C116" s="304" t="str">
        <x:v>SAPIENT-Proto-Files: bsi_flex_335_v2_0</x:v>
      </x:c>
      <x:c r="D116" s="304" t="str">
        <x:v>Defence Science and Technology Laboratory</x:v>
      </x:c>
      <x:c r="E116" s="304" t="str">
        <x:v>Commit 244a741c13bcee628f84944aef91e4a66854bd7d; v2 folder</x:v>
      </x:c>
      <x:c r="F116" s="304" t="str">
        <x:v>Pinned in study 2026-10-15</x:v>
      </x:c>
      <x:c r="G116" s="304" t="str">
        <x:v>Primary implementation schema inspected in completed study; commit and blob register retained.</x:v>
      </x:c>
      <x:c r="H116" s="304" t="str">
        <x:v>16 .proto artifacts; registration, detection_report, status_report, task, task_ack, associated_detection, follow and proto_options.</x:v>
      </x:c>
      <x:c r="I116" s="304" t="str">
        <x:v>Wire declarations and schema discrepancy evidence.</x:v>
      </x:c>
      <x:c r="J116" s="304" t="str">
        <x:v>Incorporated as companion evidence, not identical to BSI publisher text.</x:v>
      </x:c>
      <x:c r="K116" s="304" t="str">
        <x:v>https://github.com/dstl/SAPIENT-Proto-Files/tree/244a741c13bcee628f84944aef91e4a66854bd7d/bsi_flex_335_v2_0</x:v>
      </x:c>
      <x:c r="L116" s="304" t="str">
        <x:v>2026-10-17 consolidation</x:v>
      </x:c>
      <x:c r="M116" s="304" t="str">
        <x:v>No source execution; publisher/code differences remain unresolved.</x:v>
      </x:c>
      <x:c r="N116" s="304" t="str">
        <x:v>Yes</x:v>
      </x:c>
    </x:row>
    <x:row r="117" ht="74" customHeight="1">
      <x:c r="A117" s="304" t="str">
        <x:v>S112</x:v>
      </x:c>
      <x:c r="B117" s="304" t="str">
        <x:v>SAPIENT implementation evidence</x:v>
      </x:c>
      <x:c r="C117" s="304" t="str">
        <x:v>BSI-Flex-335-v2-Test-Harness</x:v>
      </x:c>
      <x:c r="D117" s="304" t="str">
        <x:v>Defence Science and Technology Laboratory</x:v>
      </x:c>
      <x:c r="E117" s="304" t="str">
        <x:v>README v5.2.4; commit 6a2999d70d761d224914ddd8fa3f663af5005be0</x:v>
      </x:c>
      <x:c r="F117" s="304" t="str">
        <x:v>Pinned in study 2026-10-15</x:v>
      </x:c>
      <x:c r="G117" s="304" t="str">
        <x:v>Developer documentation inspected; tool not run.</x:v>
      </x:c>
      <x:c r="H117" s="304" t="str">
        <x:v>README: supported version, environment and known issues.</x:v>
      </x:c>
      <x:c r="I117" s="304" t="str">
        <x:v>Native v2 test-tool evidence.</x:v>
      </x:c>
      <x:c r="J117" s="304" t="str">
        <x:v>Retain as implementation aid; not MERLIN conformance result.</x:v>
      </x:c>
      <x:c r="K117" s="304" t="str">
        <x:v>https://github.com/dstl/BSI-Flex-335-v2-Test-Harness/tree/6a2999d70d761d224914ddd8fa3f663af5005be0</x:v>
      </x:c>
      <x:c r="L117" s="304" t="str">
        <x:v>2026-10-17 consolidation</x:v>
      </x:c>
      <x:c r="M117" s="304" t="str">
        <x:v>Harness availability does not equal certification.</x:v>
      </x:c>
      <x:c r="N117" s="304" t="str">
        <x:v>Yes</x:v>
      </x:c>
    </x:row>
    <x:row r="118" ht="74" customHeight="1">
      <x:c r="A118" s="304" t="str">
        <x:v>S113</x:v>
      </x:c>
      <x:c r="B118" s="304" t="str">
        <x:v>SAPIENT implementation evidence</x:v>
      </x:c>
      <x:c r="C118" s="304" t="str">
        <x:v>Apex-SAPIENT-Middleware</x:v>
      </x:c>
      <x:c r="D118" s="304" t="str">
        <x:v>Dstl / Roke source</x:v>
      </x:c>
      <x:c r="E118" s="304" t="str">
        <x:v>Commit 0c8591ae97f2dc336eff299845880d5c73ee75b7</x:v>
      </x:c>
      <x:c r="F118" s="304" t="str">
        <x:v>Pinned in study 2026-10-15</x:v>
      </x:c>
      <x:c r="G118" s="304" t="str">
        <x:v>Implementation documentation and selected server source inspected; not run.</x:v>
      </x:c>
      <x:c r="H118" s="304" t="str">
        <x:v>README; sapient_apex_api/server.py.</x:v>
      </x:c>
      <x:c r="I118" s="304" t="str">
        <x:v>Routing, storage and mediation precedent.</x:v>
      </x:c>
      <x:c r="J118" s="304" t="str">
        <x:v>Implementation evidence only; Apex API not a CSAPI standard.</x:v>
      </x:c>
      <x:c r="K118" s="304" t="str">
        <x:v>https://github.com/dstl/Apex-SAPIENT-Middleware/tree/0c8591ae97f2dc336eff299845880d5c73ee75b7</x:v>
      </x:c>
      <x:c r="L118" s="304" t="str">
        <x:v>2026-10-17 consolidation</x:v>
      </x:c>
      <x:c r="M118" s="304" t="str">
        <x:v>No evidence of a deployed MERLIN/Apex adapter.</x:v>
      </x:c>
      <x:c r="N118" s="304" t="str">
        <x:v>Yes</x:v>
      </x:c>
    </x:row>
    <x:row r="119" ht="74" customHeight="1">
      <x:c r="A119" s="304" t="str">
        <x:v>S114</x:v>
      </x:c>
      <x:c r="B119" s="304" t="str">
        <x:v>The Open Group SOSA adopted architecture</x:v>
      </x:c>
      <x:c r="C119" s="304" t="str">
        <x:v>Technical Standard for SOSA Reference Architecture, Edition 1.1</x:v>
      </x:c>
      <x:c r="D119" s="304" t="str">
        <x:v>The Open Group</x:v>
      </x:c>
      <x:c r="E119" s="304" t="str">
        <x:v>C239; June 2023 with September 2023 erratum</x:v>
      </x:c>
      <x:c r="F119" s="304" t="str">
        <x:v>2023</x:v>
      </x:c>
      <x:c r="G119" s="304" t="str">
        <x:v>Full publisher PDF reviewed in completed SOSA study; inherited clause evidence.</x:v>
      </x:c>
      <x:c r="H119" s="304" t="str">
        <x:v>403-page c239_5.pdf; §§1.2–1.3, 3.2, 6.2.1, 12.11; Appendix B.</x:v>
      </x:c>
      <x:c r="I119" s="304" t="str">
        <x:v>Modular sensor architecture and adopted source/provider context.</x:v>
      </x:c>
      <x:c r="J119" s="304" t="str">
        <x:v>Incorporated; conditional source translation, not MPSS-wide SOSA requirements.</x:v>
      </x:c>
      <x:c r="K119" s="304" t="str">
        <x:v>https://publications.opengroup.org/c239</x:v>
      </x:c>
      <x:c r="L119" s="304" t="str">
        <x:v>2026-10-17 consolidation</x:v>
      </x:c>
      <x:c r="M119" s="304" t="str">
        <x:v>DISR record lacks edition; no source-provider mapping or certification completed.</x:v>
      </x:c>
      <x:c r="N119" s="304" t="str">
        <x:v>Yes</x:v>
      </x:c>
    </x:row>
    <x:row r="120" ht="74" customHeight="1">
      <x:c r="A120" s="304" t="str">
        <x:v>S115</x:v>
      </x:c>
      <x:c r="B120" s="304" t="str">
        <x:v>The Open Group SOSA normative data model</x:v>
      </x:c>
      <x:c r="C120" s="304" t="str">
        <x:v>SOSA Domain-Specific Data Model, Edition 1.0, and IDL companion</x:v>
      </x:c>
      <x:c r="D120" s="304" t="str">
        <x:v>The Open Group</x:v>
      </x:c>
      <x:c r="E120" s="304" t="str">
        <x:v>April 2022 model; C239 Appendix B.1 companion</x:v>
      </x:c>
      <x:c r="F120" s="304" t="str">
        <x:v>2022 / C239 companion</x:v>
      </x:c>
      <x:c r="G120" s="304" t="str">
        <x:v>152-page PDF and 227 IDL files reviewed in SOSA study; inherited evidence.</x:v>
      </x:c>
      <x:c r="H120" s="304" t="str">
        <x:v>DSDM conceptual/logical/physical model; §§1.1.3.80–81 PowerBus/PowerPort; Appendix B.1 authority.</x:v>
      </x:c>
      <x:c r="I120" s="304" t="str">
        <x:v>Domain concepts and machine-readable source message structures.</x:v>
      </x:c>
      <x:c r="J120" s="304" t="str">
        <x:v>Separate artifact record under adopted C239 authority; no wholesale OGC duplication.</x:v>
      </x:c>
      <x:c r="K120" s="304" t="str">
        <x:v>https://publications.opengroup.org/c239</x:v>
      </x:c>
      <x:c r="L120" s="304" t="str">
        <x:v>2026-10-17 consolidation</x:v>
      </x:c>
      <x:c r="M120" s="304" t="str">
        <x:v>Normative companion role inherited from source review, not independent registry status.</x:v>
      </x:c>
      <x:c r="N120" s="304" t="str">
        <x:v>Yes</x:v>
      </x:c>
    </x:row>
    <x:row r="121" ht="74" customHeight="1">
      <x:c r="A121" s="304" t="str">
        <x:v>S116</x:v>
      </x:c>
      <x:c r="B121" s="304" t="str">
        <x:v>The Open Group SOSA normative API companions</x:v>
      </x:c>
      <x:c r="C121" s="304" t="str">
        <x:v>SOSA in-band management OpenAPI definitions</x:v>
      </x:c>
      <x:c r="D121" s="304" t="str">
        <x:v>The Open Group</x:v>
      </x:c>
      <x:c r="E121" s="304" t="str">
        <x:v>C239 Appendix B.2–B.7; six v1.0 JSON documents</x:v>
      </x:c>
      <x:c r="F121" s="304" t="str">
        <x:v>C239 companion, reviewed 2026-10-15</x:v>
      </x:c>
      <x:c r="G121" s="304" t="str">
        <x:v>Six JSON API documents parsed and compared by SOSA study; no endpoint executed.</x:v>
      </x:c>
      <x:c r="H121" s="304" t="str">
        <x:v>Chassis Manager, Module, PIC, Security Services, Software RTE, System Manager; C239 Rule 6.2.1-2.</x:v>
      </x:c>
      <x:c r="I121" s="304" t="str">
        <x:v>Exact source-side API surfaces and management payload definitions.</x:v>
      </x:c>
      <x:c r="J121" s="304" t="str">
        <x:v>Retain as source-interface evidence; do not adopt the endpoints as CSAPI.</x:v>
      </x:c>
      <x:c r="K121" s="304" t="str">
        <x:v>https://publications.opengroup.org/c239</x:v>
      </x:c>
      <x:c r="L121" s="304" t="str">
        <x:v>2026-10-17 consolidation</x:v>
      </x:c>
      <x:c r="M121" s="304" t="str">
        <x:v>No API calls, role certification or source implementation selected.</x:v>
      </x:c>
      <x:c r="N121" s="304" t="str">
        <x:v>Yes</x:v>
      </x:c>
    </x:row>
    <x:row r="122" ht="74" customHeight="1">
      <x:c r="A122" s="304" t="str">
        <x:v>S117</x:v>
      </x:c>
      <x:c r="B122" s="304" t="str">
        <x:v>The Open Group SOSA developmental comparator</x:v>
      </x:c>
      <x:c r="C122" s="304" t="str">
        <x:v>Technical Standard for SOSA Reference Architecture, Edition 2.0 (Snapshot 3)</x:v>
      </x:c>
      <x:c r="D122" s="304" t="str">
        <x:v>The Open Group</x:v>
      </x:c>
      <x:c r="E122" s="304" t="str">
        <x:v>S251; June 2025 publisher bundle</x:v>
      </x:c>
      <x:c r="F122" s="304" t="str">
        <x:v>2025-06</x:v>
      </x:c>
      <x:c r="G122" s="304" t="str">
        <x:v>Publisher snapshot and companion inventory reviewed in SOSA study; developmental evidence.</x:v>
      </x:c>
      <x:c r="H122" s="304" t="str">
        <x:v>592-page primary PDF; DSDM ICD, FACE3.1 model, IDL, six APIs and specialized appendices.</x:v>
      </x:c>
      <x:c r="I122" s="304" t="str">
        <x:v>Developmental architecture/model comparator.</x:v>
      </x:c>
      <x:c r="J122" s="304" t="str">
        <x:v>Retain as snapshot only; no adopted-edition inheritance.</x:v>
      </x:c>
      <x:c r="K122" s="304" t="str">
        <x:v>https://publications.opengroup.org/standards/s251</x:v>
      </x:c>
      <x:c r="L122" s="304" t="str">
        <x:v>2026-10-17 consolidation</x:v>
      </x:c>
      <x:c r="M122" s="304" t="str">
        <x:v>Snapshot standing retained; no later adoption inferred.</x:v>
      </x:c>
      <x:c r="N122" s="304" t="str">
        <x:v>Yes</x:v>
      </x:c>
    </x:row>
    <x:row r="123" ht="74" customHeight="1">
      <x:c r="A123" s="304" t="str">
        <x:v>S118</x:v>
      </x:c>
      <x:c r="B123" s="304" t="str">
        <x:v>Standards-selection methodology</x:v>
      </x:c>
      <x:c r="C123" s="304" t="str">
        <x:v>Standardization Decisions for a Modular Open Systems Approach (MOSA)</x:v>
      </x:c>
      <x:c r="D123" s="304" t="str">
        <x:v>Defense Logistics Agency</x:v>
      </x:c>
      <x:c r="E123" s="304" t="str">
        <x:v>SD-28; March 12, 2026</x:v>
      </x:c>
      <x:c r="F123" s="304" t="str">
        <x:v>2026-03-12</x:v>
      </x:c>
      <x:c r="G123" s="304" t="str">
        <x:v>Official catalog metadata; full guidance not inspected in completed SOSA study.</x:v>
      </x:c>
      <x:c r="H123" s="304" t="str">
        <x:v>ASSIST title, date and non-prescriptive scope; record rechecked 17 October.</x:v>
      </x:c>
      <x:c r="I123" s="304" t="str">
        <x:v>Methodology lead and context, not technical donor.</x:v>
      </x:c>
      <x:c r="J123" s="304" t="str">
        <x:v>Include at catalog depth; no new process obligations.</x:v>
      </x:c>
      <x:c r="K123" s="304" t="str">
        <x:v>https://quicksearch.dla.mil/qsDocDetails.aspx?ident_number=286891</x:v>
      </x:c>
      <x:c r="L123" s="304" t="str">
        <x:v>2026-10-17 consolidation</x:v>
      </x:c>
      <x:c r="M123" s="304" t="str">
        <x:v>Catalog scope only, not a technical conformance source.</x:v>
      </x:c>
      <x:c r="N123" s="304" t="str">
        <x:v>Yes</x:v>
      </x:c>
    </x:row>
    <x:row r="124" ht="74" customHeight="1">
      <x:c r="A124" s="304" t="str">
        <x:v>S119</x:v>
      </x:c>
      <x:c r="B124" s="304" t="str">
        <x:v>Standards portfolio context</x:v>
      </x:c>
      <x:c r="C124" s="304" t="str">
        <x:v>Modular Open Systems Approach Portfolio: HOST, FACE, SOSA, UCS, and Open Mission Systems</x:v>
      </x:c>
      <x:c r="D124" s="304" t="str">
        <x:v>Defense Logistics Agency</x:v>
      </x:c>
      <x:c r="E124" s="304" t="str">
        <x:v>JOINT-UXS-002, Notice 2 (Administrative), August 26, 2026</x:v>
      </x:c>
      <x:c r="F124" s="304" t="str">
        <x:v>2026-08-26</x:v>
      </x:c>
      <x:c r="G124" s="304" t="str">
        <x:v>Official notice metadata; no full notice review claimed.</x:v>
      </x:c>
      <x:c r="H124" s="304" t="str">
        <x:v>ASSIST title, notice identity and date; metadata rechecked 17 October.</x:v>
      </x:c>
      <x:c r="I124" s="304" t="str">
        <x:v>Architecture portfolio context and acronym disambiguation.</x:v>
      </x:c>
      <x:c r="J124" s="304" t="str">
        <x:v>Retain metadata only, no donor mapping.</x:v>
      </x:c>
      <x:c r="K124" s="304" t="str">
        <x:v>https://quicksearch.dla.mil/qsDocDetails.aspx?ident_number=284706</x:v>
      </x:c>
      <x:c r="L124" s="304" t="str">
        <x:v>2026-10-17 consolidation</x:v>
      </x:c>
      <x:c r="M124" s="304" t="str">
        <x:v>Open Mission Systems is not OGC OMS; no model alignment inferred.</x:v>
      </x:c>
      <x:c r="N124" s="304" t="str">
        <x:v>Yes</x:v>
      </x:c>
    </x:row>
    <x:row r="125" ht="74" customHeight="1">
      <x:c r="A125" s="304" t="str">
        <x:v>S120</x:v>
      </x:c>
      <x:c r="B125" s="304" t="str">
        <x:v>MOSA statutory context</x:v>
      </x:c>
      <x:c r="C125" s="304" t="str">
        <x:v>United States Code, title 10, §§4401–4403</x:v>
      </x:c>
      <x:c r="D125" s="304" t="str">
        <x:v>United States</x:v>
      </x:c>
      <x:c r="E125" s="304" t="str">
        <x:v>Statutory context cited by completed SOSA study, 15 October 2026</x:v>
      </x:c>
      <x:c r="F125" s="304" t="str">
        <x:v>Study citation 2026-10-15</x:v>
      </x:c>
      <x:c r="G125" s="304" t="str">
        <x:v>Contextual source citation inherited from SOSA assessment; no fresh legal review.</x:v>
      </x:c>
      <x:c r="H125" s="304" t="str">
        <x:v>Title 10 §§4401–4403, as cited by the study.</x:v>
      </x:c>
      <x:c r="I125" s="304" t="str">
        <x:v>Policy/legal context, not a sensor vocabulary donor.</x:v>
      </x:c>
      <x:c r="J125" s="304" t="str">
        <x:v>Record context; no program applicability determination.</x:v>
      </x:c>
      <x:c r="K125" s="304" t="str">
        <x:v>https://uscode.house.gov/view.xhtml?edition=prelim&amp;f=treesort&amp;req=(title:10%20section:4401%20edition:prelim)</x:v>
      </x:c>
      <x:c r="L125" s="304" t="str">
        <x:v>2026-10-17 consolidation</x:v>
      </x:c>
      <x:c r="M125" s="304" t="str">
        <x:v>Mutable statutory locator; source-study citation depth only.</x:v>
      </x:c>
      <x:c r="N125" s="304" t="str">
        <x:v>Yes</x:v>
      </x:c>
    </x:row>
    <x:row r="126" ht="74" customHeight="1">
      <x:c r="A126" s="304" t="str">
        <x:v>S121</x:v>
      </x:c>
      <x:c r="B126" s="304" t="str">
        <x:v>OGC supporting encoding artifacts</x:v>
      </x:c>
      <x:c r="C126" s="304" t="str">
        <x:v>CSAPI Part 1 v1.0 property-definition JSON schema subset</x:v>
      </x:c>
      <x:c r="D126" s="304" t="str">
        <x:v>Open Geospatial Consortium</x:v>
      </x:c>
      <x:c r="E126" s="304" t="str">
        <x:v>Part 1 / v1.0</x:v>
      </x:c>
      <x:c r="F126" s="304" t="str">
        <x:v>Selected inspection 2026-10-17</x:v>
      </x:c>
      <x:c r="G126" s="304" t="str">
        <x:v>Selected public schemas inspected in approved increment; raw publisher bytes/dependency closure not fully recovered.</x:v>
      </x:c>
      <x:c r="H126" s="304" t="str">
        <x:v>property.json; OGC 23-001 §§15.2 and 19.2.8</x:v>
      </x:c>
      <x:c r="I126" s="304" t="str">
        <x:v>Encoding evidence for qualified property descriptions.</x:v>
      </x:c>
      <x:c r="J126" s="304" t="str">
        <x:v>Supporting artifact only; technical v0.3.5 unchanged.</x:v>
      </x:c>
      <x:c r="K126" s="304" t="str">
        <x:v>https://schemas.opengis.net/ogcapi/connected-systems/part1/1.0/openapi/schemas/sensorml/property.json</x:v>
      </x:c>
      <x:c r="L126" s="304" t="str">
        <x:v>2026-10-17 consolidation</x:v>
      </x:c>
      <x:c r="M126" s="304" t="str">
        <x:v>Exact schema dependency closure and immutable publisher bytes incomplete; no native donor proof.</x:v>
      </x:c>
      <x:c r="N126" s="304" t="str">
        <x:v>Yes</x:v>
      </x:c>
    </x:row>
    <x:row r="127" ht="74" customHeight="1">
      <x:c r="A127" s="304" t="str">
        <x:v>S122</x:v>
      </x:c>
      <x:c r="B127" s="304" t="str">
        <x:v>OGC supporting encoding artifacts</x:v>
      </x:c>
      <x:c r="C127" s="304" t="str">
        <x:v>CSAPI Part 2 v1.0 DataStream and Observation JSON schema subset</x:v>
      </x:c>
      <x:c r="D127" s="304" t="str">
        <x:v>Open Geospatial Consortium</x:v>
      </x:c>
      <x:c r="E127" s="304" t="str">
        <x:v>Part 2 / v1.0</x:v>
      </x:c>
      <x:c r="F127" s="304" t="str">
        <x:v>Selected inspection 2026-10-17</x:v>
      </x:c>
      <x:c r="G127" s="304" t="str">
        <x:v>Selected public schemas inspected in approved increment; raw publisher bytes/dependency closure not fully recovered.</x:v>
      </x:c>
      <x:c r="H127" s="304" t="str">
        <x:v>dataStream.json and observation.json; OGC 23-002 §§9.2 and 9.7.2</x:v>
      </x:c>
      <x:c r="I127" s="304" t="str">
        <x:v>Encoding evidence for native shared context and historical observation attribution.</x:v>
      </x:c>
      <x:c r="J127" s="304" t="str">
        <x:v>Supporting artifact only; technical v0.3.5 unchanged.</x:v>
      </x:c>
      <x:c r="K127" s="304" t="str">
        <x:v>https://schemas.opengis.net/ogcapi/connected-systems/part2/1.0/openapi/schemas/json/dataStream.json</x:v>
      </x:c>
      <x:c r="L127" s="304" t="str">
        <x:v>2026-10-17 consolidation</x:v>
      </x:c>
      <x:c r="M127" s="304" t="str">
        <x:v>Exact schema dependency closure and immutable publisher bytes incomplete; no native donor proof.</x:v>
      </x:c>
      <x:c r="N127" s="304" t="str">
        <x:v>Yes</x:v>
      </x:c>
    </x:row>
    <x:row r="128" ht="74" customHeight="1">
      <x:c r="A128" s="304" t="str">
        <x:v>S123</x:v>
      </x:c>
      <x:c r="B128" s="304" t="str">
        <x:v>OGC supporting encoding artifacts</x:v>
      </x:c>
      <x:c r="C128" s="304" t="str">
        <x:v>SWE Common 3.0 Quantity and basic-types JSON schema subset</x:v>
      </x:c>
      <x:c r="D128" s="304" t="str">
        <x:v>Open Geospatial Consortium</x:v>
      </x:c>
      <x:c r="E128" s="304" t="str">
        <x:v>SWE Common 3.0</x:v>
      </x:c>
      <x:c r="F128" s="304" t="str">
        <x:v>Selected inspection 2026-10-17</x:v>
      </x:c>
      <x:c r="G128" s="304" t="str">
        <x:v>Selected public schemas inspected in approved increment; raw publisher bytes/dependency closure not fully recovered.</x:v>
      </x:c>
      <x:c r="H128" s="304" t="str">
        <x:v>Quantity.json and basicTypes.json; OGC 24-014 §§8.2.16 and 9.1.15</x:v>
      </x:c>
      <x:c r="I128" s="304" t="str">
        <x:v>Encoding evidence for typed values, units, constraints and declared nil semantics.</x:v>
      </x:c>
      <x:c r="J128" s="304" t="str">
        <x:v>Supporting artifact only; technical v0.3.5 unchanged.</x:v>
      </x:c>
      <x:c r="K128" s="304" t="str">
        <x:v>https://schemas.opengis.net/sweCommon/3.0/json/Quantity.json</x:v>
      </x:c>
      <x:c r="L128" s="304" t="str">
        <x:v>2026-10-17 consolidation</x:v>
      </x:c>
      <x:c r="M128" s="304" t="str">
        <x:v>Exact schema dependency closure and immutable publisher bytes incomplete; no native donor proof.</x:v>
      </x:c>
      <x:c r="N128" s="304" t="str">
        <x:v>Yes</x:v>
      </x:c>
    </x:row>
    <x:row r="129" ht="74" customHeight="1">
      <x:c r="A129" s="304" t="str">
        <x:v>S124</x:v>
      </x:c>
      <x:c r="B129" s="304" t="str">
        <x:v>SAPIENT guidance—later edition</x:v>
      </x:c>
      <x:c r="C129" s="304" t="str">
        <x:v>SAPIENT networked autonomous sensing</x:v>
      </x:c>
      <x:c r="D129" s="304" t="str">
        <x:v>Defence Science and Technology Laboratory</x:v>
      </x:c>
      <x:c r="E129" s="304" t="str">
        <x:v>GOV.UK guidance updated 14 October 2026</x:v>
      </x:c>
      <x:c r="F129" s="304" t="str">
        <x:v>2026-10-14</x:v>
      </x:c>
      <x:c r="G129" s="304" t="str">
        <x:v>Official guidance version/date rechecked; technical claims remain grounded in BSI v2 study.</x:v>
      </x:c>
      <x:c r="H129" s="304" t="str">
        <x:v>Guidance title and update history; source study references.</x:v>
      </x:c>
      <x:c r="I129" s="304" t="str">
        <x:v>Later program context, distinct from S51 historical 2024 edition.</x:v>
      </x:c>
      <x:c r="J129" s="304" t="str">
        <x:v>Separate dated guidance record; no SAPIENT v3 normative claim.</x:v>
      </x:c>
      <x:c r="K129" s="304" t="str">
        <x:v>https://www.gov.uk/guidance/sapient-autonomous-sensor-system</x:v>
      </x:c>
      <x:c r="L129" s="304" t="str">
        <x:v>2026-10-17 consolidation</x:v>
      </x:c>
      <x:c r="M129" s="304" t="str">
        <x:v>Historical OSUS wording not found in current page; preserve S51 inspection provenance.</x:v>
      </x:c>
      <x:c r="N129" s="304" t="str">
        <x:v>Yes</x:v>
      </x:c>
    </x:row>
    <x:row r="130" ht="175" customHeight="1">
      <x:c r="A130" s="28" t="str">
        <x:v>S125</x:v>
      </x:c>
      <x:c r="B130" s="28" t="str">
        <x:v>OSCAR mapping / residual standards</x:v>
      </x:c>
      <x:c r="C130" s="28" t="str">
        <x:v>N42-2011 Radiation Portal Monitor example</x:v>
      </x:c>
      <x:c r="D130" s="28" t="str">
        <x:v>NIST</x:v>
      </x:c>
      <x:c r="E130" s="28" t="str">
        <x:v>N42-2011 example / Annex D</x:v>
      </x:c>
      <x:c r="F130" s="28" t="str">
        <x:v>2011 example series; page updated 2025</x:v>
      </x:c>
      <x:c r="G130" s="28" t="str">
        <x:v>Official explanatory example</x:v>
      </x:c>
      <x:c r="H130" s="28" t="str">
        <x:v>Portal-monitor scenario narrative; linked historical Annex D additionally inspected as pinned OSCAR repository copy, S139.</x:v>
      </x:c>
      <x:c r="I130" s="28" t="str">
        <x:v>Reuse grouping and acquisition-context distinctions as radiation mapping evidence; retain native identifiers and references.</x:v>
      </x:c>
      <x:c r="J130" s="28" t="str">
        <x:v>REUSE AS MAPPING PRECEDENT</x:v>
      </x:c>
      <x:c r="K130" s="28" t="str">
        <x:v>https://www.nist.gov/pml/radiation-physics/n42-2011/n42-2011-radiation-portal-monitor</x:v>
      </x:c>
      <x:c r="L130" s="28" t="str">
        <x:v>2026-10-22</x:v>
      </x:c>
      <x:c r="M130" s="28" t="str">
        <x:v>Example, not full normative text. The repository copy is not asserted byte-identical to the linked NIST file. No 2020 conformance is inferred.</x:v>
      </x:c>
      <x:c r="N130" s="28" t="str">
        <x:v>The example distinguishes time slices, detector-specific counts, occupancy indicators and a measurement group. It includes pre- and post-occupancy readings rather than equating every related reading with occupied time. Reuse grouping and acquisition-context distinctions as radiation mapping evidence; retain native identifiers and references. Boundary: Example, not full normative text. The repository copy is not asserted byte-identical to the linked NIST file. No 2020 conformance is inferred.</x:v>
      </x:c>
    </x:row>
    <x:row r="131" ht="175" customHeight="1">
      <x:c r="A131" s="28" t="str">
        <x:v>S126</x:v>
      </x:c>
      <x:c r="B131" s="28" t="str">
        <x:v>OSCAR mapping / residual standards</x:v>
      </x:c>
      <x:c r="C131" s="28" t="str">
        <x:v>N42-2011 Spectroscopic Radiation Portal Monitor example</x:v>
      </x:c>
      <x:c r="D131" s="28" t="str">
        <x:v>NIST</x:v>
      </x:c>
      <x:c r="E131" s="28" t="str">
        <x:v>N42-2011 example / Annex E</x:v>
      </x:c>
      <x:c r="F131" s="28" t="str">
        <x:v>2011 example series; page updated 2025</x:v>
      </x:c>
      <x:c r="G131" s="28" t="str">
        <x:v>Official explanatory example</x:v>
      </x:c>
      <x:c r="H131" s="28" t="str">
        <x:v>Spectroscopic scenario narrative; selected Annex E metadata and dependency references in pinned repository copy, S139.</x:v>
      </x:c>
      <x:c r="I131" s="28" t="str">
        <x:v>Use explicit raw-spectrum and derived-data references as provenance evidence, without assuming every same-passage record was an input.</x:v>
      </x:c>
      <x:c r="J131" s="28" t="str">
        <x:v>REUSE AS MAPPING PRECEDENT</x:v>
      </x:c>
      <x:c r="K131" s="28" t="str">
        <x:v>https://www.nist.gov/pml/radiation-physics/n42-2011/n42-2011-spectroscopic-radiation-portal-monitor</x:v>
      </x:c>
      <x:c r="L131" s="28" t="str">
        <x:v>2026-10-22</x:v>
      </x:c>
      <x:c r="M131" s="28" t="str">
        <x:v>Only selected fields and references inspected; no spectrum decompression, arithmetic verification or complete normative N42 assessment.</x:v>
      </x:c>
      <x:c r="N131" s="28" t="str">
        <x:v>The example separates raw spectra, summed DerivedData and analysis results. Its analysis identifies an algorithm and settings, providing more than a file-access convention. Use explicit raw-spectrum and derived-data references as provenance evidence, without assuming every same-passage record was an input. Boundary: Only selected fields and references inspected; no spectrum decompression, arithmetic verification or complete normative N42 assessment.</x:v>
      </x:c>
    </x:row>
    <x:row r="132" ht="175" customHeight="1">
      <x:c r="A132" s="28" t="str">
        <x:v>S127</x:v>
      </x:c>
      <x:c r="B132" s="28" t="str">
        <x:v>OSCAR mapping / residual standards</x:v>
      </x:c>
      <x:c r="C132" s="28" t="str">
        <x:v>ANSI/IEEE N42.42-2020 Version: schema and example distribution index</x:v>
      </x:c>
      <x:c r="D132" s="28" t="str">
        <x:v>NIST / IEEE</x:v>
      </x:c>
      <x:c r="E132" s="28" t="str">
        <x:v>2020</x:v>
      </x:c>
      <x:c r="F132" s="28" t="str">
        <x:v>2020; index updated 2025-12-05</x:v>
      </x:c>
      <x:c r="G132" s="28" t="str">
        <x:v>Official artifact index; normative access incomplete</x:v>
      </x:c>
      <x:c r="H132" s="28" t="str">
        <x:v>2020 resource index and available schema/example/Schematron links; linked artifact retrieval failed in this session.</x:v>
      </x:c>
      <x:c r="I132" s="28" t="str">
        <x:v>Pin the required native edition rather than relabeling an inspected 2011 example as 2020.</x:v>
      </x:c>
      <x:c r="J132" s="28" t="str">
        <x:v>GATED FOR NORMATIVE MAPPING</x:v>
      </x:c>
      <x:c r="K132" s="28" t="str">
        <x:v>https://www.nist.gov/pml/radiation-physics/ansiieee-n4242-2020-version</x:v>
      </x:c>
      <x:c r="L132" s="28" t="str">
        <x:v>2026-10-22</x:v>
      </x:c>
      <x:c r="M132" s="28" t="str">
        <x:v>No 2020 XSD bytes, Schematron execution or full IEEE normative text was examined in this increment. Index visibility is not schema validation.</x:v>
      </x:c>
      <x:c r="N132" s="28" t="str">
        <x:v>The official distribution identifies the current-edition artifacts relevant to a future native radiation mapping. Pin the required native edition rather than relabeling an inspected 2011 example as 2020. Boundary: No 2020 XSD bytes, Schematron execution or full IEEE normative text was examined in this increment. Index visibility is not schema validation.</x:v>
      </x:c>
    </x:row>
    <x:row r="133" ht="175" customHeight="1">
      <x:c r="A133" s="28" t="str">
        <x:v>S128</x:v>
      </x:c>
      <x:c r="B133" s="28" t="str">
        <x:v>OSCAR mapping / residual standards</x:v>
      </x:c>
      <x:c r="C133" s="28" t="str">
        <x:v>PROV-DM: The PROV Data Model</x:v>
      </x:c>
      <x:c r="D133" s="28" t="str">
        <x:v>W3C</x:v>
      </x:c>
      <x:c r="E133" s="28" t="str">
        <x:v>Recommendation</x:v>
      </x:c>
      <x:c r="F133" s="28" t="str">
        <x:v>2013-04-30</x:v>
      </x:c>
      <x:c r="G133" s="28" t="str">
        <x:v>Published conceptual model</x:v>
      </x:c>
      <x:c r="H133" s="28" t="str">
        <x:v>§§1.1, 5.1–5.3, 5.5–5.6 and 7; entity/activity, use, generation, derivation, revision, responsibility and membership.</x:v>
      </x:c>
      <x:c r="I133" s="28" t="str">
        <x:v>Select as the principal residual-lineage donor; compare to R11 rather than replacing the whole physical-system model.</x:v>
      </x:c>
      <x:c r="J133" s="28" t="str">
        <x:v>SELECT FOR BOUNDED FOLLOW-ON BINDING</x:v>
      </x:c>
      <x:c r="K133" s="28" t="str">
        <x:v>https://www.w3.org/TR/2013/REC-prov-dm-20130430/</x:v>
      </x:c>
      <x:c r="L133" s="28" t="str">
        <x:v>2026-10-22</x:v>
      </x:c>
      <x:c r="M133" s="28" t="str">
        <x:v>PROV does not define radiation truth, evidence sufficiency, passage identity or a case-management workflow.</x:v>
      </x:c>
      <x:c r="N133" s="28" t="str">
        <x:v>PROV distinguishes produced information from the activity producing it. Collection membership does not establish that a member was used in an analysis. Select as the principal residual-lineage donor; compare to R11 rather than replacing the whole physical-system model. Boundary: PROV does not define radiation truth, evidence sufficiency, passage identity or a case-management workflow.</x:v>
      </x:c>
    </x:row>
    <x:row r="134" ht="175" customHeight="1">
      <x:c r="A134" s="28" t="str">
        <x:v>S129</x:v>
      </x:c>
      <x:c r="B134" s="28" t="str">
        <x:v>OSCAR mapping / residual standards</x:v>
      </x:c>
      <x:c r="C134" s="28" t="str">
        <x:v>PROV-O: The PROV Ontology</x:v>
      </x:c>
      <x:c r="D134" s="28" t="str">
        <x:v>W3C</x:v>
      </x:c>
      <x:c r="E134" s="28" t="str">
        <x:v>Recommendation</x:v>
      </x:c>
      <x:c r="F134" s="28" t="str">
        <x:v>2013-04-30</x:v>
      </x:c>
      <x:c r="G134" s="28" t="str">
        <x:v>Published RDF/OWL encoding</x:v>
      </x:c>
      <x:c r="H134" s="28" t="str">
        <x:v>§1.1, §§3–4; Entity, Activity, Collection, Plan, used, wasGeneratedBy, wasDerivedFrom, wasRevisionOf, qualifiedAssociation and hadPlan.</x:v>
      </x:c>
      <x:c r="I134" s="28" t="str">
        <x:v>Use a small optional RDF design specimen to test the relationship distinctions; no triple store or SPARQL endpoint is required by this proposal.</x:v>
      </x:c>
      <x:c r="J134" s="28" t="str">
        <x:v>CANDIDATE NATIVE ENCODING</x:v>
      </x:c>
      <x:c r="K134" s="28" t="str">
        <x:v>https://www.w3.org/TR/2013/REC-prov-o-20130430/</x:v>
      </x:c>
      <x:c r="L134" s="28" t="str">
        <x:v>2026-10-22</x:v>
      </x:c>
      <x:c r="M134" s="28" t="str">
        <x:v>Turtle parsing and the local assertions in this package do not constitute complete OWL or PROV constraint validation.</x:v>
      </x:c>
      <x:c r="N134" s="28" t="str">
        <x:v>PROV-O gives a standard representation for selected provenance statements rather than a newly authored MERLIN relation vocabulary. Use a small optional RDF design specimen to test the relationship distinctions; no triple store or SPARQL endpoint is required by this proposal. Boundary: Turtle parsing and the local assertions in this package do not constitute complete OWL or PROV constraint validation.</x:v>
      </x:c>
    </x:row>
    <x:row r="135" ht="175" customHeight="1">
      <x:c r="A135" s="28" t="str">
        <x:v>S130</x:v>
      </x:c>
      <x:c r="B135" s="28" t="str">
        <x:v>OSCAR mapping / residual standards</x:v>
      </x:c>
      <x:c r="C135" s="28" t="str">
        <x:v>Constraints of the PROV Data Model</x:v>
      </x:c>
      <x:c r="D135" s="28" t="str">
        <x:v>W3C</x:v>
      </x:c>
      <x:c r="E135" s="28" t="str">
        <x:v>Recommendation</x:v>
      </x:c>
      <x:c r="F135" s="28" t="str">
        <x:v>2013-04-30</x:v>
      </x:c>
      <x:c r="G135" s="28" t="str">
        <x:v>Published consistency constraints</x:v>
      </x:c>
      <x:c r="H135" s="28" t="str">
        <x:v>Validity/conformance framework and constraint families for identifiers, ordering, typing and impossible combinations.</x:v>
      </x:c>
      <x:c r="I135" s="28" t="str">
        <x:v>Define the future validation boundary for any adopted PROV specimen.</x:v>
      </x:c>
      <x:c r="J135" s="28" t="str">
        <x:v>REQUIRED DEPENDENCY FOR FUTURE CLAIM</x:v>
      </x:c>
      <x:c r="K135" s="28" t="str">
        <x:v>https://www.w3.org/TR/2013/REC-prov-constraints-20130430/</x:v>
      </x:c>
      <x:c r="L135" s="28" t="str">
        <x:v>2026-10-22</x:v>
      </x:c>
      <x:c r="M135" s="28" t="str">
        <x:v>No complete inference/normalization engine or full constraint suite was implemented during this mapping study.</x:v>
      </x:c>
      <x:c r="N135" s="28" t="str">
        <x:v>Well-formed provenance text and a valid provenance instance are different checks. Define the future validation boundary for any adopted PROV specimen. Boundary: No complete inference/normalization engine or full constraint suite was implemented during this mapping study.</x:v>
      </x:c>
    </x:row>
    <x:row r="136" ht="175" customHeight="1">
      <x:c r="A136" s="28" t="str">
        <x:v>S131</x:v>
      </x:c>
      <x:c r="B136" s="28" t="str">
        <x:v>OSCAR mapping / residual standards</x:v>
      </x:c>
      <x:c r="C136" s="28" t="str">
        <x:v>PROV-AQ: Provenance Access and Query</x:v>
      </x:c>
      <x:c r="D136" s="28" t="str">
        <x:v>W3C</x:v>
      </x:c>
      <x:c r="E136" s="28" t="str">
        <x:v>Working Group Note</x:v>
      </x:c>
      <x:c r="F136" s="28" t="str">
        <x:v>2013-04-30</x:v>
      </x:c>
      <x:c r="G136" s="28" t="str">
        <x:v>Published Note; not Recommendation</x:v>
      </x:c>
      <x:c r="H136" s="28" t="str">
        <x:v>§§1.2–1.4, 2–3.1; has_provenance link and target/anchor identity.</x:v>
      </x:c>
      <x:c r="I136" s="28" t="str">
        <x:v>Candidate companion-link pattern using the complete extension relation URI and an identified representation/version.</x:v>
      </x:c>
      <x:c r="J136" s="28" t="str">
        <x:v>CANDIDATE ACCESS PATTERN</x:v>
      </x:c>
      <x:c r="K136" s="28" t="str">
        <x:v>https://www.w3.org/TR/2013/NOTE-prov-aq-20130430/</x:v>
      </x:c>
      <x:c r="L136" s="28" t="str">
        <x:v>2026-10-22</x:v>
      </x:c>
      <x:c r="M136" s="28" t="str">
        <x:v>The Note is not a W3C Recommendation. Current server support and MPSS publication requirements remain untested.</x:v>
      </x:c>
      <x:c r="N136" s="28" t="str">
        <x:v>A provenance document can be discovered by an HTTP link without inventing a provenance endpoint family. Candidate companion-link pattern using the complete extension relation URI and an identified representation/version. Boundary: The Note is not a W3C Recommendation. Current server support and MPSS publication requirements remain untested.</x:v>
      </x:c>
    </x:row>
    <x:row r="137" ht="175" customHeight="1">
      <x:c r="A137" s="28" t="str">
        <x:v>S132</x:v>
      </x:c>
      <x:c r="B137" s="28" t="str">
        <x:v>OSCAR mapping / residual standards</x:v>
      </x:c>
      <x:c r="C137" s="28" t="str">
        <x:v>Semantic Sensor Network Ontology – 2023 Edition</x:v>
      </x:c>
      <x:c r="D137" s="28" t="str">
        <x:v>W3C / OGC</x:v>
      </x:c>
      <x:c r="E137" s="28" t="str">
        <x:v>Working Draft, 21 October 2026</x:v>
      </x:c>
      <x:c r="F137" s="28" t="str">
        <x:v>2026-10-21</x:v>
      </x:c>
      <x:c r="G137" s="28" t="str">
        <x:v>Version-pinned draft</x:v>
      </x:c>
      <x:c r="H137" s="28" t="str">
        <x:v>Collection provisions, OMS extension §6.1, PROV alignment §7.1.4 and CSAPI alignment §7.3.1.</x:v>
      </x:c>
      <x:c r="I137" s="28" t="str">
        <x:v>Record explicit donor-to-donor alignment; compare the act of observing with the separately versioned record describing it.</x:v>
      </x:c>
      <x:c r="J137" s="28" t="str">
        <x:v>INFORMATIVE ALIGNMENT COMPARATOR</x:v>
      </x:c>
      <x:c r="K137" s="28" t="str">
        <x:v>https://www.w3.org/TR/2026/WD-vocab-ssn-2023-20261021/</x:v>
      </x:c>
      <x:c r="L137" s="28" t="str">
        <x:v>2026-10-22</x:v>
      </x:c>
      <x:c r="M137" s="28" t="str">
        <x:v>Not a Recommendation; no mandatory upgrade of the approved OGC baseline. Keep S99’s 12 October draft as history.</x:v>
      </x:c>
      <x:c r="N137" s="28" t="str">
        <x:v>The draft expressly aligns observation/actuation/sampling executions with PROV activities and procedures with plans. It also records OMS and CSAPI relationships. Record explicit donor-to-donor alignment; compare the act of observing with the separately versioned record describing it. Boundary: Not a Recommendation; no mandatory upgrade of the approved OGC baseline. Keep S99’s 12 October draft as history.</x:v>
      </x:c>
    </x:row>
    <x:row r="138" ht="175" customHeight="1">
      <x:c r="A138" s="28" t="str">
        <x:v>S133</x:v>
      </x:c>
      <x:c r="B138" s="28" t="str">
        <x:v>OSCAR mapping / residual standards</x:v>
      </x:c>
      <x:c r="C138" s="28" t="str">
        <x:v>Data Catalog Vocabulary (DCAT) – Version 3</x:v>
      </x:c>
      <x:c r="D138" s="28" t="str">
        <x:v>W3C</x:v>
      </x:c>
      <x:c r="E138" s="28" t="str">
        <x:v>Recommendation</x:v>
      </x:c>
      <x:c r="F138" s="28" t="str">
        <x:v>2024-08-22</x:v>
      </x:c>
      <x:c r="G138" s="28" t="str">
        <x:v>Published catalog vocabulary</x:v>
      </x:c>
      <x:c r="H138" s="28" t="str">
        <x:v>Dataset/Distribution/DataService, related resources, provenance and version/checksum terms; bounded applicability review.</x:v>
      </x:c>
      <x:c r="I138" s="28" t="str">
        <x:v>Conditional candidate for describing published sensing products and multiple representations.</x:v>
      </x:c>
      <x:c r="J138" s="28" t="str">
        <x:v>DEFER UNLESS PRODUCT CATALOG NEED IS SHOWN</x:v>
      </x:c>
      <x:c r="K138" s="28" t="str">
        <x:v>https://www.w3.org/TR/vocab-dcat-3/</x:v>
      </x:c>
      <x:c r="L138" s="28" t="str">
        <x:v>2026-10-22</x:v>
      </x:c>
      <x:c r="M138" s="28" t="str">
        <x:v>A file is not automatically a dataset, and a catalog vocabulary does not define evidence sufficiency or a screening case.</x:v>
      </x:c>
      <x:c r="N138" s="28" t="str">
        <x:v>DCAT distinguishes an information resource from its available distributions and access services. Conditional candidate for describing published sensing products and multiple representations. Boundary: A file is not automatically a dataset, and a catalog vocabulary does not define evidence sufficiency or a screening case.</x:v>
      </x:c>
    </x:row>
    <x:row r="139" ht="175" customHeight="1">
      <x:c r="A139" s="28" t="str">
        <x:v>S134</x:v>
      </x:c>
      <x:c r="B139" s="28" t="str">
        <x:v>OSCAR mapping / residual standards</x:v>
      </x:c>
      <x:c r="C139" s="28" t="str">
        <x:v>Case Management Model and Notation (CMMN)</x:v>
      </x:c>
      <x:c r="D139" s="28" t="str">
        <x:v>OMG</x:v>
      </x:c>
      <x:c r="E139" s="28" t="str">
        <x:v>1.1; formal/2016-12-01</x:v>
      </x:c>
      <x:c r="F139" s="28" t="str">
        <x:v>2016-12</x:v>
      </x:c>
      <x:c r="G139" s="28" t="str">
        <x:v>Published modeling standard</x:v>
      </x:c>
      <x:c r="H139" s="28" t="str">
        <x:v>§2 conformance; §§5.3.1–5.3.2 CaseFile and CaseFileItem; printed pp.21–22 and Figure5.5 visually inspected.</x:v>
      </x:c>
      <x:c r="I139" s="28" t="str">
        <x:v>Conditional research source when an investigation has a lifecycle beyond a recorded command/result.</x:v>
      </x:c>
      <x:c r="J139" s="28" t="str">
        <x:v>DEFER: NOT NEEDED TO MAP ONE RETURNED DECISION</x:v>
      </x:c>
      <x:c r="K139" s="28" t="str">
        <x:v>https://www.omg.org/spec/CMMN/1.1/PDF</x:v>
      </x:c>
      <x:c r="L139" s="28" t="str">
        <x:v>2026-10-22</x:v>
      </x:c>
      <x:c r="M139" s="28" t="str">
        <x:v>Borrowing CaseFile ideas is not CMMN implementation. No complete workflow or case engine is selected.</x:v>
      </x:c>
      <x:c r="N139" s="28" t="str">
        <x:v>CMMN provides an information model for a managed case with structured or unstructured information and explicit containment/reference relationships. Conditional research source when an investigation has a lifecycle beyond a recorded command/result. Boundary: Borrowing CaseFile ideas is not CMMN implementation. No complete workflow or case engine is selected.</x:v>
      </x:c>
    </x:row>
    <x:row r="140" ht="175" customHeight="1">
      <x:c r="A140" s="28" t="str">
        <x:v>S135</x:v>
      </x:c>
      <x:c r="B140" s="28" t="str">
        <x:v>OSCAR mapping / residual standards</x:v>
      </x:c>
      <x:c r="C140" s="28" t="str">
        <x:v>OGC API – Processes – Part 1: Core</x:v>
      </x:c>
      <x:c r="D140" s="28" t="str">
        <x:v>OGC</x:v>
      </x:c>
      <x:c r="E140" s="28" t="str">
        <x:v>1.0.0; OGC 18-062r2</x:v>
      </x:c>
      <x:c r="F140" s="28" t="str">
        <x:v>2021</x:v>
      </x:c>
      <x:c r="G140" s="28" t="str">
        <x:v>Published API standard; pinned comparator edition</x:v>
      </x:c>
      <x:c r="H140" s="28" t="str">
        <x:v>Process description, execute, jobs, status and results provisions; applicability rather than service validation.</x:v>
      </x:c>
      <x:c r="I140" s="28" t="str">
        <x:v>Compare only where a CSAPI command/result is insufficient for the actual execution-management requirement.</x:v>
      </x:c>
      <x:c r="J140" s="28" t="str">
        <x:v>DEFER: EXISTING COMMAND/RESULT FIRST</x:v>
      </x:c>
      <x:c r="K140" s="28" t="str">
        <x:v>https://docs.ogc.org/is/18-062r2/18-062r2.html</x:v>
      </x:c>
      <x:c r="L140" s="28" t="str">
        <x:v>2026-10-22</x:v>
      </x:c>
      <x:c r="M140" s="28" t="str">
        <x:v>Not required merely because OSCAR calls WebID or Cambio. No Processes service or latest-edition claim.</x:v>
      </x:c>
      <x:c r="N140" s="28" t="str">
        <x:v>Processes provides a standardized execution/job API for analyses managed as separate processing services. Compare only where a CSAPI command/result is insufficient for the actual execution-management requirement. Boundary: Not required merely because OSCAR calls WebID or Cambio. No Processes service or latest-edition claim.</x:v>
      </x:c>
    </x:row>
    <x:row r="141" ht="175" customHeight="1">
      <x:c r="A141" s="28" t="str">
        <x:v>S136</x:v>
      </x:c>
      <x:c r="B141" s="28" t="str">
        <x:v>OSCAR mapping / residual standards</x:v>
      </x:c>
      <x:c r="C141" s="28" t="str">
        <x:v>Detection at State Borders of Nuclear and Other Radioactive Material out of Regulatory Control</x:v>
      </x:c>
      <x:c r="D141" s="28" t="str">
        <x:v>IAEA</x:v>
      </x:c>
      <x:c r="E141" s="28" t="str">
        <x:v>Nuclear Security Series No.44-T</x:v>
      </x:c>
      <x:c r="F141" s="28" t="str">
        <x:v>2023</x:v>
      </x:c>
      <x:c r="G141" s="28" t="str">
        <x:v>Domain implementation guidance</x:v>
      </x:c>
      <x:c r="H141" s="28" t="str">
        <x:v>Official publication description and operational framing of border detection, equipment, responsibility and secondary inspection.</x:v>
      </x:c>
      <x:c r="I141" s="28" t="str">
        <x:v>Use to frame information requirements, not to manufacture a machine schema or universal decision classification.</x:v>
      </x:c>
      <x:c r="J141" s="28" t="str">
        <x:v>DOMAIN CONTEXT ONLY</x:v>
      </x:c>
      <x:c r="K141" s="28" t="str">
        <x:v>https://nucleus.iaea.org/sites/nss-oui/Published%20Collections/m_9c5cd7cc-4f40-427c-87c9-c81e6fb0acb3/m_9c5cd7cc-4f40-427c-87c9-c81e6fb0acb3__3_0.Html</x:v>
      </x:c>
      <x:c r="L141" s="28" t="str">
        <x:v>2026-10-22</x:v>
      </x:c>
      <x:c r="M141" s="28" t="str">
        <x:v>No comprehensive clause-level implementation assessment, operational certification or legal guidance.</x:v>
      </x:c>
      <x:c r="N141" s="28" t="str">
        <x:v>Domain guidance distinguishes detection equipment and alarm response from continuing human assessment and inspection. Use to frame information requirements, not to manufacture a machine schema or universal decision classification. Boundary: No comprehensive clause-level implementation assessment, operational certification or legal guidance.</x:v>
      </x:c>
    </x:row>
    <x:row r="142" ht="175" customHeight="1">
      <x:c r="A142" s="28" t="str">
        <x:v>S137</x:v>
      </x:c>
      <x:c r="B142" s="28" t="str">
        <x:v>OSCAR mapping / residual standards</x:v>
      </x:c>
      <x:c r="C142" s="28" t="str">
        <x:v>Documentary Standards: IEC 62755 Standard (N42 Data Format)</x:v>
      </x:c>
      <x:c r="D142" s="28" t="str">
        <x:v>NIST / IEC</x:v>
      </x:c>
      <x:c r="E142" s="28" t="str">
        <x:v>IEC 62755:2012 with 2020 amendment identified</x:v>
      </x:c>
      <x:c r="F142" s="28" t="str">
        <x:v>2012 / 2020</x:v>
      </x:c>
      <x:c r="G142" s="28" t="str">
        <x:v>Official standards relationship overview</x:v>
      </x:c>
      <x:c r="H142" s="28" t="str">
        <x:v>Official overview, purpose and artifact links; full IEC normative text not inspected.</x:v>
      </x:c>
      <x:c r="I142" s="28" t="str">
        <x:v>Record relationship with N42 and verify edition-specific requirements before asserting equivalence.</x:v>
      </x:c>
      <x:c r="J142" s="28" t="str">
        <x:v>CONTEXT / NORMATIVE ACCESS GATED</x:v>
      </x:c>
      <x:c r="K142" s="28" t="str">
        <x:v>https://www.nist.gov/programs-projects/documentary-standards-iec-62755-standard-n42-data-format</x:v>
      </x:c>
      <x:c r="L142" s="28" t="str">
        <x:v>2026-10-22</x:v>
      </x:c>
      <x:c r="M142" s="28" t="str">
        <x:v>No automatic interchangeability, native conformance or shared schema-byte assertion.</x:v>
      </x:c>
      <x:c r="N142" s="28" t="str">
        <x:v>The overview establishes a real standards lineage around radiation-instrument exchange rather than an invented application format. Record relationship with N42 and verify edition-specific requirements before asserting equivalence. Boundary: No automatic interchangeability, native conformance or shared schema-byte assertion.</x:v>
      </x:c>
    </x:row>
    <x:row r="143" ht="175" customHeight="1">
      <x:c r="A143" s="28" t="str">
        <x:v>S138</x:v>
      </x:c>
      <x:c r="B143" s="28" t="str">
        <x:v>OSCAR mapping / residual standards</x:v>
      </x:c>
      <x:c r="C143" s="28" t="str">
        <x:v>OSCAR viewer – pinned discovery and stream interpretation implementation</x:v>
      </x:c>
      <x:c r="D143" s="28" t="str">
        <x:v>Botts Innovative Research contributors</x:v>
      </x:c>
      <x:c r="E143" s="28" t="str">
        <x:v>4b49c7cedc841c875dbb63613dfd21c34b8fa6ed</x:v>
      </x:c>
      <x:c r="F143" s="28" t="str">
        <x:v>Pinned OSCAR 3.9.0 review baseline</x:v>
      </x:c>
      <x:c r="G143" s="28" t="str">
        <x:v>Implementation source</x:v>
      </x:c>
      <x:c r="H143" s="28" t="str">
        <x:v>Node.ts, Constants.tsx, Utilities.ts and HLSVideoComponent.tsx selected paths.</x:v>
      </x:c>
      <x:c r="I143" s="28" t="str">
        <x:v>Donor implementation evidence for a competent generic baseline and explicit relationship/access mapping.</x:v>
      </x:c>
      <x:c r="J143" s="28" t="str">
        <x:v>REUSE IMPLEMENTATION EVIDENCE</x:v>
      </x:c>
      <x:c r="K143" s="28" t="str">
        <x:v>https://github.com/Botts-Innovative-Research/oscar-viewer/tree/4b49c7cedc841c875dbb63613dfd21c34b8fa6ed</x:v>
      </x:c>
      <x:c r="L143" s="28" t="str">
        <x:v>2026-10-22</x:v>
      </x:c>
      <x:c r="M143" s="28" t="str">
        <x:v>No full repository audit, runtime reproduction or assertion that every application convention is nonconformant.</x:v>
      </x:c>
      <x:c r="N143" s="28" t="str">
        <x:v>The viewer uses both semantic property definitions and application conventions, including lane UID parsing and bucket URL construction. Donor implementation evidence for a competent generic baseline and explicit relationship/access mapping. Boundary: No full repository audit, runtime reproduction or assertion that every application convention is nonconformant.</x:v>
      </x:c>
    </x:row>
    <x:row r="144" ht="175" customHeight="1">
      <x:c r="A144" s="28" t="str">
        <x:v>S139</x:v>
      </x:c>
      <x:c r="B144" s="28" t="str">
        <x:v>OSCAR mapping / residual standards</x:v>
      </x:c>
      <x:c r="C144" s="28" t="str">
        <x:v>OSCAR server modules and bundled N42 artifacts – pinned implementation</x:v>
      </x:c>
      <x:c r="D144" s="28" t="str">
        <x:v>Botts Innovative Research contributors</x:v>
      </x:c>
      <x:c r="E144" s="28" t="str">
        <x:v>817f408a017302387f4f427b9b7f8ec5bcb62c70</x:v>
      </x:c>
      <x:c r="F144" s="28" t="str">
        <x:v>Pinned OSCAR 3.9.0 review baseline</x:v>
      </x:c>
      <x:c r="G144" s="28" t="str">
        <x:v>Implementation source and historical example artifacts</x:v>
      </x:c>
      <x:c r="H144" s="28" t="str">
        <x:v>LaneSystem, OccupancyOutput, RADHelper, WebIdAnalyzer, AdjudicationControl, HLSControl; selected Annex D/E N42 and Schematron references.</x:v>
      </x:c>
      <x:c r="I144" s="28" t="str">
        <x:v>Primary source-contract mapping and separate donor-example fact extraction.</x:v>
      </x:c>
      <x:c r="J144" s="28" t="str">
        <x:v>REUSE IMPLEMENTATION / EXAMPLE EVIDENCE</x:v>
      </x:c>
      <x:c r="K144" s="28" t="str">
        <x:v>https://github.com/Botts-Innovative-Research/osh-oakridge-modules/tree/817f408a017302387f4f427b9b7f8ec5bcb62c70</x:v>
      </x:c>
      <x:c r="L144" s="28" t="str">
        <x:v>2026-10-22</x:v>
      </x:c>
      <x:c r="M144" s="28" t="str">
        <x:v>No live source instance supplied. Synthetic walkthrough values are not captured OSCAR data; Annex D/E are historical examples, not the same runtime event.</x:v>
      </x:c>
      <x:c r="N144" s="28" t="str">
        <x:v>The source identifies occupancy record fields and distinct command, observation and media associations. Bundled N42 examples independently exhibit measurement grouping and analysis-input references. Primary source-contract mapping and separate donor-example fact extraction. Boundary: No live source instance supplied. Synthetic walkthrough values are not captured OSCAR data; Annex D/E are historical examples, not the same runtime event.</x:v>
      </x:c>
    </x:row>
    <x:row r="145" ht="175" customHeight="1">
      <x:c r="A145" s="28" t="str">
        <x:v>S140</x:v>
      </x:c>
      <x:c r="B145" s="28" t="str">
        <x:v>OSCAR mapping / residual standards</x:v>
      </x:c>
      <x:c r="C145" s="28" t="str">
        <x:v>OSCAR build-node and System Documentation Manual 3.5 – pinned bundle</x:v>
      </x:c>
      <x:c r="D145" s="28" t="str">
        <x:v>Botts Innovative Research contributors</x:v>
      </x:c>
      <x:c r="E145" s="28" t="str">
        <x:v>ab8b847b662152bd949157197182bfdf8c429d21</x:v>
      </x:c>
      <x:c r="F145" s="28" t="str">
        <x:v>Pinned build review, manual labeled3.5</x:v>
      </x:c>
      <x:c r="G145" s="28" t="str">
        <x:v>Implementation documentation</x:v>
      </x:c>
      <x:c r="H145" s="28" t="str">
        <x:v>README and manual §§6–8: lane families, event/evidence/adjudication flow, files, reports and offline behavior.</x:v>
      </x:c>
      <x:c r="I145" s="28" t="str">
        <x:v>Bound the worked case and distinguish information requirements from software implementation responsibilities.</x:v>
      </x:c>
      <x:c r="J145" s="28" t="str">
        <x:v>REUSE OPERATIONAL CONTEXT</x:v>
      </x:c>
      <x:c r="K145" s="28" t="str">
        <x:v>https://github.com/Botts-Innovative-Research/osh-oakridge-buildnode/tree/ab8b847b662152bd949157197182bfdf8c429d21</x:v>
      </x:c>
      <x:c r="L145" s="28" t="str">
        <x:v>2026-10-22</x:v>
      </x:c>
      <x:c r="M145" s="28" t="str">
        <x:v>Manual3.5 inside the inspected newer build is not proof that all described behavior was executed or unchanged.</x:v>
      </x:c>
      <x:c r="N145" s="28" t="str">
        <x:v>The documentation describes a complete application workflow and companion services, not solely a sensor metadata API. Bound the worked case and distinguish information requirements from software implementation responsibilities. Boundary: Manual3.5 inside the inspected newer build is not proof that all described behavior was executed or unchanged.</x:v>
      </x:c>
    </x:row>
  </x:sheetData>
  <x:mergeCells>
    <x:mergeCell ref="A1:N1"/>
    <x:mergeCell ref="A3:N3"/>
  </x:mergeCells>
  <x:dataValidations count="1">
    <x:dataValidation type="list" sqref="J6:J32">
      <x:formula1>"Assess,Background,Supplemental,Deferred,Shortlisted,Rejected"</x:formula1>
    </x:dataValidation>
  </x:dataValidations>
  <x:pageMargins left="0.7" right="0.7" top="0.75" bottom="0.75" header="0.3" footer="0.3"/>
  <x:tableParts count="1">
    <x:tablePart xmlns:r="http://schemas.openxmlformats.org/officeDocument/2006/relationships" r:id="R58139c8906ec4562"/>
  </x:tableParts>
</x:worksheet>
</file>

<file path=xl/worksheets/sheet2.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9" hidden="0" customWidth="1"/>
    <x:col min="2" max="2" width="27" hidden="0" customWidth="1"/>
    <x:col min="3" max="3" width="27" hidden="0" customWidth="1"/>
    <x:col min="4" max="4" width="26" hidden="0" customWidth="1"/>
    <x:col min="5" max="5" width="39" hidden="0" customWidth="1"/>
    <x:col min="6" max="6" width="38" hidden="0" customWidth="1"/>
    <x:col min="7" max="7" width="38" hidden="0" customWidth="1"/>
    <x:col min="8" max="8" width="32" hidden="0" customWidth="1"/>
    <x:col min="9" max="9" width="40" hidden="0" customWidth="1"/>
  </x:cols>
  <x:sheetData>
    <x:row r="1" ht="34" customHeight="1">
      <x:c r="A1" s="95" t="str">
        <x:v>MODEL RELATIONSHIPS</x:v>
      </x:c>
      <x:c r="B1" s="95"/>
      <x:c r="C1" s="95"/>
      <x:c r="D1" s="95"/>
      <x:c r="E1" s="95"/>
      <x:c r="F1" s="95"/>
      <x:c r="G1" s="95"/>
      <x:c r="H1" s="95"/>
      <x:c r="I1" s="95"/>
    </x:row>
    <x:row r="2" ht="18" customHeight="1">
      <x:c r="A2" s="98" t="str">
        <x:v>Documented dependencies and proposed mappings are identified separately. Read with Section 1 of the bibliography.</x:v>
      </x:c>
      <x:c r="B2" s="98"/>
      <x:c r="C2" s="98"/>
      <x:c r="D2" s="98"/>
      <x:c r="E2" s="98"/>
      <x:c r="F2" s="98"/>
      <x:c r="G2" s="98"/>
      <x:c r="H2" s="98"/>
      <x:c r="I2" s="98"/>
    </x:row>
    <x:row r="3" ht="18" customHeight="1">
      <x:c r="A3" s="305" t="str">
        <x:v>HISTORICAL RECORD PRESERVED. Current v0.9 status: see Workstream Ledger, Applied R01-R20, Evidence Gates, Donor Coverage and Integration Gaps.</x:v>
      </x:c>
      <x:c r="B3" s="98"/>
      <x:c r="C3" s="98"/>
      <x:c r="D3" s="98"/>
      <x:c r="E3" s="98"/>
      <x:c r="F3" s="98"/>
      <x:c r="G3" s="98"/>
      <x:c r="H3" s="98"/>
      <x:c r="I3" s="98"/>
    </x:row>
    <x:row r="4" ht="9" customHeight="1">
      <x:c r="A4" s="89"/>
      <x:c r="B4" s="89"/>
      <x:c r="C4" s="89"/>
      <x:c r="D4" s="89"/>
      <x:c r="E4" s="89"/>
      <x:c r="F4" s="89"/>
      <x:c r="G4" s="89"/>
      <x:c r="H4" s="89"/>
      <x:c r="I4" s="89"/>
    </x:row>
    <x:row r="5" ht="45" customHeight="1">
      <x:c r="A5" s="101" t="str">
        <x:v>ID</x:v>
      </x:c>
      <x:c r="B5" s="101" t="str">
        <x:v>Source IDs</x:v>
      </x:c>
      <x:c r="C5" s="101" t="str">
        <x:v>Concepts compared</x:v>
      </x:c>
      <x:c r="D5" s="101" t="str">
        <x:v>Relationship</x:v>
      </x:c>
      <x:c r="E5" s="101" t="str">
        <x:v>Assessment</x:v>
      </x:c>
      <x:c r="F5" s="101" t="str">
        <x:v>Boundary / non-equivalence</x:v>
      </x:c>
      <x:c r="G5" s="101" t="str">
        <x:v>Question that could change a decision</x:v>
      </x:c>
      <x:c r="H5" s="101" t="str">
        <x:v>Evidence limit</x:v>
      </x:c>
      <x:c r="I5" s="101" t="str">
        <x:v>Inspection date</x:v>
      </x:c>
    </x:row>
    <x:row r="6" ht="70" hidden="0" customHeight="1">
      <x:c r="A6" s="104" t="str">
        <x:v>R01</x:v>
      </x:c>
      <x:c r="B6" s="102" t="str">
        <x:v>S01–S04, S20–S21, S33</x:v>
      </x:c>
      <x:c r="C6" s="102" t="str">
        <x:v>OGC mechanisms and community descriptions</x:v>
      </x:c>
      <x:c r="D6" s="102" t="str">
        <x:v>Documented profiling precedent; proposed current agreement</x:v>
      </x:c>
      <x:c r="E6" s="102" t="str">
        <x:v>Profiles can coordinate domain content within OGC; current scope follows the whole sensing-system family.</x:v>
      </x:c>
      <x:c r="F6" s="102" t="str">
        <x:v>Historic marine XML and Discovery papers are precedents, not the current profile.</x:v>
      </x:c>
      <x:c r="G6" s="102" t="str">
        <x:v>Select the actual content-source combination within the family-level scope.</x:v>
      </x:c>
      <x:c r="H6" s="102" t="str">
        <x:v>Primary profile text + analytical recommendation</x:v>
      </x:c>
      <x:c r="I6" s="103" t="str">
        <x:v>2026-10-12</x:v>
      </x:c>
    </x:row>
    <x:row r="7" ht="70" hidden="0" customHeight="1">
      <x:c r="A7" s="105" t="str">
        <x:v>R02</x:v>
      </x:c>
      <x:c r="B7" s="89" t="str">
        <x:v>S05, S06</x:v>
      </x:c>
      <x:c r="C7" s="89" t="str">
        <x:v>Devices and PA-DIM</x:v>
      </x:c>
      <x:c r="D7" s="89" t="str">
        <x:v>Documented native dependency</x:v>
      </x:c>
      <x:c r="E7" s="89" t="str">
        <x:v>PA-DIM specializes Devices for process-automation content.</x:v>
      </x:c>
      <x:c r="F7" s="89" t="str">
        <x:v>Not a universal unattended-sensor vocabulary or CSAPI binding.</x:v>
      </x:c>
      <x:c r="G7" s="89" t="str">
        <x:v>Does an actual partner expose this model?</x:v>
      </x:c>
      <x:c r="H7" s="89" t="str">
        <x:v>Selected normative clauses</x:v>
      </x:c>
      <x:c r="I7" s="90" t="str">
        <x:v>2026-10-12</x:v>
      </x:c>
    </x:row>
    <x:row r="8" ht="70" hidden="0" customHeight="1">
      <x:c r="A8" s="104" t="str">
        <x:v>R03</x:v>
      </x:c>
      <x:c r="B8" s="102" t="str">
        <x:v>S07, S36</x:v>
      </x:c>
      <x:c r="C8" s="102" t="str">
        <x:v>AAS metamodel and TechnicalData</x:v>
      </x:c>
      <x:c r="D8" s="102" t="str">
        <x:v>Documented template specialization</x:v>
      </x:c>
      <x:c r="E8" s="102" t="str">
        <x:v>Common technical-data frame uses AAS elements and dictionaries.</x:v>
      </x:c>
      <x:c r="F8" s="102" t="str">
        <x:v>Frame does not supply domain-specific property sets.</x:v>
      </x:c>
      <x:c r="G8" s="102" t="str">
        <x:v>Does preserving a real AAS artifact add value?</x:v>
      </x:c>
      <x:c r="H8" s="102" t="str">
        <x:v>Template text and selected JSON artifact</x:v>
      </x:c>
      <x:c r="I8" s="103" t="str">
        <x:v>2026-10-12</x:v>
      </x:c>
    </x:row>
    <x:row r="9" ht="70" hidden="0" customHeight="1">
      <x:c r="A9" s="105" t="str">
        <x:v>R04</x:v>
      </x:c>
      <x:c r="B9" s="89" t="str">
        <x:v>S07, S37</x:v>
      </x:c>
      <x:c r="C9" s="89" t="str">
        <x:v>AAS metamodel and hierarchy</x:v>
      </x:c>
      <x:c r="D9" s="89" t="str">
        <x:v>Documented structural agreement</x:v>
      </x:c>
      <x:c r="E9" s="89" t="str">
        <x:v>Defines entity/reference organization and Full/One Down/One Up choices.</x:v>
      </x:c>
      <x:c r="F9" s="89" t="str">
        <x:v>Not generic physical-presence proof or all lifecycle semantics.</x:v>
      </x:c>
      <x:c r="G9" s="89" t="str">
        <x:v>Is distributed asset-description resolution needed?</x:v>
      </x:c>
      <x:c r="H9" s="89" t="str">
        <x:v>Direct template clauses and figures</x:v>
      </x:c>
      <x:c r="I9" s="90" t="str">
        <x:v>2026-10-12</x:v>
      </x:c>
    </x:row>
    <x:row r="10" ht="70" hidden="0" customHeight="1">
      <x:c r="A10" s="104" t="str">
        <x:v>R05</x:v>
      </x:c>
      <x:c r="B10" s="102" t="str">
        <x:v>S37, S38</x:v>
      </x:c>
      <x:c r="C10" s="102" t="str">
        <x:v>Base hierarchy and IEC-based extension</x:v>
      </x:c>
      <x:c r="D10" s="102" t="str">
        <x:v>Documented native extension</x:v>
      </x:c>
      <x:c r="E10" s="102" t="str">
        <x:v>Separate engineering aspects add meanings excluded by generic hierarchy.</x:v>
      </x:c>
      <x:c r="F10" s="102" t="str">
        <x:v>Not a military mission taxonomy.</x:v>
      </x:c>
      <x:c r="G10" s="102" t="str">
        <x:v>Are distinct source-backed structural perspectives present?</x:v>
      </x:c>
      <x:c r="H10" s="102" t="str">
        <x:v>Published extension, underlying IEC not separately read</x:v>
      </x:c>
      <x:c r="I10" s="103" t="str">
        <x:v>2026-10-12</x:v>
      </x:c>
    </x:row>
    <x:row r="11" ht="70" hidden="0" customHeight="1">
      <x:c r="A11" s="105" t="str">
        <x:v>R06</x:v>
      </x:c>
      <x:c r="B11" s="89" t="str">
        <x:v>S08, S37</x:v>
      </x:c>
      <x:c r="C11" s="89" t="str">
        <x:v>Hardware components vs asset hierarchy</x:v>
      </x:c>
      <x:c r="D11" s="89" t="str">
        <x:v>Overlap with different intended environments</x:v>
      </x:c>
      <x:c r="E11" s="89" t="str">
        <x:v>RFC 8348 manages hardware; AAS emphasizes related asset descriptions and resolution.</x:v>
      </x:c>
      <x:c r="F11" s="89" t="str">
        <x:v>No family-wide equivalence or automatic parent mapping.</x:v>
      </x:c>
      <x:c r="G11" s="89" t="str">
        <x:v>Which model answers the actual equipment question?</x:v>
      </x:c>
      <x:c r="H11" s="89" t="str">
        <x:v>Primary specifications + comparative inference</x:v>
      </x:c>
      <x:c r="I11" s="90" t="str">
        <x:v>2026-10-12</x:v>
      </x:c>
    </x:row>
    <x:row r="12" ht="70" hidden="0" customHeight="1">
      <x:c r="A12" s="104" t="str">
        <x:v>R07</x:v>
      </x:c>
      <x:c r="B12" s="102" t="str">
        <x:v>S16, S17</x:v>
      </x:c>
      <x:c r="C12" s="102" t="str">
        <x:v>OSA-EAI and OSA-CBM</x:v>
      </x:c>
      <x:c r="D12" s="102" t="str">
        <x:v>Related but not interchangeable</x:v>
      </x:c>
      <x:c r="E12" s="102" t="str">
        <x:v>Broader asset information versus condition-processing exchanges.</x:v>
      </x:c>
      <x:c r="F12" s="102" t="str">
        <x:v>Not every mapping between families established; exact archives uninspected.</x:v>
      </x:c>
      <x:c r="G12" s="102" t="str">
        <x:v>Is lifecycle history or assessment exchange actually needed?</x:v>
      </x:c>
      <x:c r="H12" s="102" t="str">
        <x:v>Official architecture and exact release notes</x:v>
      </x:c>
      <x:c r="I12" s="103" t="str">
        <x:v>2026-10-12</x:v>
      </x:c>
    </x:row>
    <x:row r="13" ht="70" hidden="0" customHeight="1">
      <x:c r="A13" s="105" t="str">
        <x:v>R08</x:v>
      </x:c>
      <x:c r="B13" s="89" t="str">
        <x:v>S16, S35</x:v>
      </x:c>
      <x:c r="C13" s="89" t="str">
        <x:v>OSA-EAI listed edition and later CCOM</x:v>
      </x:c>
      <x:c r="D13" s="89" t="str">
        <x:v>Related release lineage; status boundary</x:v>
      </x:c>
      <x:c r="E13" s="89" t="str">
        <x:v>Detailed CCOM clarifies model/asset/segment/event concepts.</x:v>
      </x:c>
      <x:c r="F13" s="89" t="str">
        <x:v>RC1 contents do not inherit OSA-EAI 3.2.3a mandate.</x:v>
      </x:c>
      <x:c r="G13" s="89" t="str">
        <x:v>Are selected constructs present in the mandated package?</x:v>
      </x:c>
      <x:c r="H13" s="89" t="str">
        <x:v>Later UML + exact earlier release identity</x:v>
      </x:c>
      <x:c r="I13" s="90" t="str">
        <x:v>2026-10-12</x:v>
      </x:c>
    </x:row>
    <x:row r="14" ht="70" hidden="0" customHeight="1">
      <x:c r="A14" s="104" t="str">
        <x:v>R09</x:v>
      </x:c>
      <x:c r="B14" s="102" t="str">
        <x:v>S05, S16, S35</x:v>
      </x:c>
      <x:c r="C14" s="102" t="str">
        <x:v>MIMOSA CCOM and OPC UA</x:v>
      </x:c>
      <x:c r="D14" s="102" t="str">
        <x:v>Documented cooperation proposal</x:v>
      </x:c>
      <x:c r="E14" s="102" t="str">
        <x:v>Working group proposed asset-model access through OPC companion work.</x:v>
      </x:c>
      <x:c r="F14" s="102" t="str">
        <x:v>Proposal is not completed companion standard or rejection history.</x:v>
      </x:c>
      <x:c r="G14" s="102" t="str">
        <x:v>Does a published native partner artifact change the option?</x:v>
      </x:c>
      <x:c r="H14" s="102" t="str">
        <x:v>Official prospective statement only</x:v>
      </x:c>
      <x:c r="I14" s="103" t="str">
        <x:v>2026-10-12</x:v>
      </x:c>
    </x:row>
    <x:row r="15" ht="70" hidden="0" customHeight="1">
      <x:c r="A15" s="105" t="str">
        <x:v>R10</x:v>
      </x:c>
      <x:c r="B15" s="89" t="str">
        <x:v>S01, S04, S39</x:v>
      </x:c>
      <x:c r="C15" s="89" t="str">
        <x:v>OGC descriptions/tasking vs AAS capabilities</x:v>
      </x:c>
      <x:c r="D15" s="89" t="str">
        <x:v>Partial overlap; additional relationship model</x:v>
      </x:c>
      <x:c r="E15" s="89" t="str">
        <x:v>Required/offered functions, realization and constraints go beyond a property list.</x:v>
      </x:c>
      <x:c r="F15" s="89" t="str">
        <x:v>Skill is not automatically a ControlStream; domain terms remain needed.</x:v>
      </x:c>
      <x:c r="G15" s="89" t="str">
        <x:v>Is capability matching a real requirement?</x:v>
      </x:c>
      <x:c r="H15" s="89" t="str">
        <x:v>Template + analytical mapping boundary</x:v>
      </x:c>
      <x:c r="I15" s="90" t="str">
        <x:v>2026-10-12</x:v>
      </x:c>
    </x:row>
    <x:row r="16" ht="70" hidden="0" customHeight="1">
      <x:c r="A16" s="104" t="str">
        <x:v>R11</x:v>
      </x:c>
      <x:c r="B16" s="102" t="str">
        <x:v>S03, S18, S35, S38</x:v>
      </x:c>
      <x:c r="C16" s="102" t="str">
        <x:v>Deployment, event, asset position and engineering aspect</x:v>
      </x:c>
      <x:c r="D16" s="102" t="str">
        <x:v>Potential complement at specific relations</x:v>
      </x:c>
      <x:c r="E16" s="102" t="str">
        <x:v>A unit, a placement event and an employment interval can differ.</x:v>
      </x:c>
      <x:c r="F16" s="102" t="str">
        <x:v>AOI is not automatically a Segment/location aspect.</x:v>
      </x:c>
      <x:c r="G16" s="102" t="str">
        <x:v>Which exact relationship does source data assert?</x:v>
      </x:c>
      <x:c r="H16" s="102" t="str">
        <x:v>Project evidence and model comparison</x:v>
      </x:c>
      <x:c r="I16" s="102" t="str">
        <x:v>2026-10-12</x:v>
      </x:c>
    </x:row>
    <x:row r="17" ht="70" hidden="0" customHeight="1">
      <x:c r="A17" s="105" t="str">
        <x:v>R12</x:v>
      </x:c>
      <x:c r="B17" s="89" t="str">
        <x:v>S19, S27, S03</x:v>
      </x:c>
      <x:c r="C17" s="89" t="str">
        <x:v>Operational model and OGC Deployment</x:v>
      </x:c>
      <x:c r="D17" s="89" t="str">
        <x:v>Separate semantic lane; possible alignment</x:v>
      </x:c>
      <x:c r="E17" s="89" t="str">
        <x:v>Organizations/actions and participation can contribute operational meaning.</x:v>
      </x:c>
      <x:c r="F17" s="89" t="str">
        <x:v>Do not replace literal labels with invented model instances.</x:v>
      </x:c>
      <x:c r="G17" s="89" t="str">
        <x:v>What operational relationship is needed beyond the label?</x:v>
      </x:c>
      <x:c r="H17" s="89" t="str">
        <x:v>Historical MIM paper, project evidence</x:v>
      </x:c>
      <x:c r="I17" s="89" t="str">
        <x:v>2026-10-12</x:v>
      </x:c>
    </x:row>
    <x:row r="18" ht="70" customHeight="1">
      <x:c r="A18" s="104" t="str">
        <x:v>R13</x:v>
      </x:c>
      <x:c r="B18" s="102" t="str">
        <x:v>S02, S14–S15</x:v>
      </x:c>
      <x:c r="C18" s="102" t="str">
        <x:v>Typed values, unit code and quantity kind</x:v>
      </x:c>
      <x:c r="D18" s="102" t="str">
        <x:v>Complementary responsibilities</x:v>
      </x:c>
      <x:c r="E18" s="102" t="str">
        <x:v>Unit syntax, property meaning and record structure solve different problems.</x:v>
      </x:c>
      <x:c r="F18" s="102" t="str">
        <x:v>Unit equivalence is not measurement equivalence.</x:v>
      </x:c>
      <x:c r="G18" s="102" t="str">
        <x:v>Which precise quantity and role are supplied?</x:v>
      </x:c>
      <x:c r="H18" s="102" t="str">
        <x:v>Selected primary definitions</x:v>
      </x:c>
      <x:c r="I18" s="102" t="str">
        <x:v>2026-10-12</x:v>
      </x:c>
    </x:row>
    <x:row r="19" ht="70" customHeight="1">
      <x:c r="A19" s="105" t="str">
        <x:v>R14</x:v>
      </x:c>
      <x:c r="B19" s="89" t="str">
        <x:v>S33, S34</x:v>
      </x:c>
      <x:c r="C19" s="89" t="str">
        <x:v>Discovery input profile and catalogue mapping</x:v>
      </x:c>
      <x:c r="D19" s="89" t="str">
        <x:v>Documented predecessor relationship</x:v>
      </x:c>
      <x:c r="E19" s="89" t="str">
        <x:v>Content agreement and transformation are separate artifacts.</x:v>
      </x:c>
      <x:c r="F19" s="89" t="str">
        <x:v>No legacy catalogue selected for MERLIN.</x:v>
      </x:c>
      <x:c r="G19" s="89" t="str">
        <x:v>What content agreement is needed before a mapping?</x:v>
      </x:c>
      <x:c r="H19" s="89" t="str">
        <x:v>Historical OGC papers</x:v>
      </x:c>
      <x:c r="I19" s="89" t="str">
        <x:v>2026-10-12</x:v>
      </x:c>
    </x:row>
    <x:row r="20" ht="70" customHeight="1">
      <x:c r="A20" s="104" t="str">
        <x:v>R15</x:v>
      </x:c>
      <x:c r="B20" s="102" t="str">
        <x:v>S21, S36, S35</x:v>
      </x:c>
      <x:c r="C20" s="102" t="str">
        <x:v>Marine rules, AAS frame and CCOM reference data</x:v>
      </x:c>
      <x:c r="D20" s="102" t="str">
        <x:v>Different levels of domain completeness</x:v>
      </x:c>
      <x:c r="E20" s="102" t="str">
        <x:v>All depend on community-agreed meanings; some leave broad customization.</x:v>
      </x:c>
      <x:c r="F20" s="102" t="str">
        <x:v>A richer generic model still leaves domain agreement work.</x:v>
      </x:c>
      <x:c r="G20" s="102" t="str">
        <x:v>Which already-agreed terms actually reduce custom interpretation?</x:v>
      </x:c>
      <x:c r="H20" s="102" t="str">
        <x:v>Direct content comparison</x:v>
      </x:c>
      <x:c r="I20" s="102" t="str">
        <x:v>2026-10-12</x:v>
      </x:c>
    </x:row>
    <x:row r="21" ht="70" customHeight="1">
      <x:c r="A21" s="105" t="str">
        <x:v>R16</x:v>
      </x:c>
      <x:c r="B21" s="89" t="str">
        <x:v>S25, S35–S39</x:v>
      </x:c>
      <x:c r="C21" s="89" t="str">
        <x:v>Baseline adoption and added technical content</x:v>
      </x:c>
      <x:c r="D21" s="89" t="str">
        <x:v>Independent evidence dimensions</x:v>
      </x:c>
      <x:c r="E21" s="89" t="str">
        <x:v>Exact records affect prioritization and action proposals.</x:v>
      </x:c>
      <x:c r="F21" s="89" t="str">
        <x:v>Mandate is not proof of fit; absence is not proof of rejection.</x:v>
      </x:c>
      <x:c r="G21" s="89" t="str">
        <x:v>Would a selected normative dependency justify an action?</x:v>
      </x:c>
      <x:c r="H21" s="89" t="str">
        <x:v>Complete DISR baseline + analysis</x:v>
      </x:c>
      <x:c r="I21" s="89" t="str">
        <x:v>2026-10-12</x:v>
      </x:c>
    </x:row>
    <x:row r="22" ht="135" customHeight="1">
      <x:c r="A22" s="70" t="str">
        <x:v>R17</x:v>
      </x:c>
      <x:c r="B22" s="70" t="str">
        <x:v>S01–S04, S21, S40–S42</x:v>
      </x:c>
      <x:c r="C22" s="70" t="str">
        <x:v>Direct OGC versus a shared content agreement</x:v>
      </x:c>
      <x:c r="D22" s="70" t="str">
        <x:v>Potentially the same architecture</x:v>
      </x:c>
      <x:c r="E22" s="70" t="str">
        <x:v>The added commitment is shared meaning/representation across independent implementations, not a unique serialization capability.</x:v>
      </x:c>
      <x:c r="F22" s="70" t="str">
        <x:v>A competent direct implementation may already make identical commitments.</x:v>
      </x:c>
      <x:c r="G22" s="70" t="str">
        <x:v>Who would adopt the agreement beyond a single controlled integration?</x:v>
      </x:c>
      <x:c r="H22" s="70" t="str">
        <x:v>Documentary worked comparison; no measured development savings</x:v>
      </x:c>
      <x:c r="I22" s="70" t="str">
        <x:v>2026-10-12</x:v>
      </x:c>
    </x:row>
    <x:row r="23" ht="135" customHeight="1">
      <x:c r="A23" s="70" t="str">
        <x:v>R18</x:v>
      </x:c>
      <x:c r="B23" s="70" t="str">
        <x:v>S08, S40–S42</x:v>
      </x:c>
      <x:c r="C23" s="70" t="str">
        <x:v>Managed-component model versus choices, reports and model functions</x:v>
      </x:c>
      <x:c r="D23" s="70" t="str">
        <x:v>No additional native inventory need established in these cases</x:v>
      </x:c>
      <x:c r="E23" s="70" t="str">
        <x:v>Configuration selections, reported labels and measurement functions do not automatically identify managed hardware components.</x:v>
      </x:c>
      <x:c r="F23" s="70" t="str">
        <x:v>No RFC implementation, component cardinality or native bridge inferred.</x:v>
      </x:c>
      <x:c r="G23" s="70" t="str">
        <x:v>Actual managed inventory or partner interface could justify reconsideration.</x:v>
      </x:c>
      <x:c r="H23" s="70" t="str">
        <x:v>Primary source pages and RFC model content; case-specific recommendation</x:v>
      </x:c>
      <x:c r="I23" s="70" t="str">
        <x:v>2026-10-12</x:v>
      </x:c>
    </x:row>
    <x:row r="24" ht="115" customHeight="1">
      <x:c r="A24" s="240" t="str">
        <x:v>R19</x:v>
      </x:c>
      <x:c r="B24" s="239" t="str">
        <x:v>S52, S47, S46</x:v>
      </x:c>
      <x:c r="C24" s="239" t="str">
        <x:v>Sensor-network node and physical managed asset</x:v>
      </x:c>
      <x:c r="D24" s="239" t="str">
        <x:v>Corroborating engineering abstractions</x:v>
      </x:c>
      <x:c r="E24" s="239" t="str">
        <x:v>SNRA provides industry coverage; OSUS provides a concrete UGS-community asset interface.</x:v>
      </x:c>
      <x:c r="F24" s="239" t="str">
        <x:v>Conceptual applicability is not vendor conformance or an established cross-model equivalence.</x:v>
      </x:c>
      <x:c r="G24" s="239" t="str">
        <x:v>Which exact domain content should the OGC profile inherit?</x:v>
      </x:c>
      <x:c r="H24" s="239" t="str">
        <x:v>Preview + code + survey; study’s applicability argument</x:v>
      </x:c>
      <x:c r="I24" s="239" t="str">
        <x:v>2026-10-12</x:v>
      </x:c>
    </x:row>
    <x:row r="25" ht="115" customHeight="1">
      <x:c r="A25" s="240" t="str">
        <x:v>R20</x:v>
      </x:c>
      <x:c r="B25" s="239" t="str">
        <x:v>S47, S01–S04</x:v>
      </x:c>
      <x:c r="C25" s="239" t="str">
        <x:v>OSUS capabilities/status and OGC representations</x:v>
      </x:c>
      <x:c r="D25" s="239" t="str">
        <x:v>Proposed model-content comparison</x:v>
      </x:c>
      <x:c r="E25" s="239" t="str">
        <x:v>Whole-device capabilities and status can inform profile content over the OGC foundation.</x:v>
      </x:c>
      <x:c r="F25" s="239" t="str">
        <x:v>No native OSUS Java/OSGi implementation or published CSAPI crosswalk selected.</x:v>
      </x:c>
      <x:c r="G25" s="239" t="str">
        <x:v>Select authoritative definitions and OGC bindings by operator subject.</x:v>
      </x:c>
      <x:c r="H25" s="239" t="str">
        <x:v>Pinned code; mapping remains proposed</x:v>
      </x:c>
      <x:c r="I25" s="239" t="str">
        <x:v>2026-10-12</x:v>
      </x:c>
    </x:row>
    <x:row r="26" ht="115" customHeight="1">
      <x:c r="A26" s="240" t="str">
        <x:v>R21</x:v>
      </x:c>
      <x:c r="B26" s="239" t="str">
        <x:v>S10, S50, S52</x:v>
      </x:c>
      <x:c r="C26" s="239" t="str">
        <x:v>Power arrangement and device-family scope</x:v>
      </x:c>
      <x:c r="D26" s="239" t="str">
        <x:v>Complementary aspect and category evidence</x:v>
      </x:c>
      <x:c r="E26" s="239" t="str">
        <x:v>Power may apply more broadly than the complete sensing-system profile.</x:v>
      </x:c>
      <x:c r="F26" s="239" t="str">
        <x:v>RFC 7326 alternate realizations do not establish the current power draft’s full coverage.</x:v>
      </x:c>
      <x:c r="G26" s="239" t="str">
        <x:v>Which common power framework and specializations meet the whole operating arrangement?</x:v>
      </x:c>
      <x:c r="H26" s="239" t="str">
        <x:v>Primary RFC text + scope assessment</x:v>
      </x:c>
      <x:c r="I26" s="239" t="str">
        <x:v>2026-10-12</x:v>
      </x:c>
    </x:row>
    <x:row r="27" ht="115" customHeight="1">
      <x:c r="A27" s="240" t="str">
        <x:v>R22</x:v>
      </x:c>
      <x:c r="B27" s="239" t="str">
        <x:v>S48, S01–S04</x:v>
      </x:c>
      <x:c r="C27" s="239" t="str">
        <x:v>IEEE 1451 and OGC SWE</x:v>
      </x:c>
      <x:c r="D27" s="239" t="str">
        <x:v>Documented historical prototype bridge</x:v>
      </x:c>
      <x:c r="E27" s="239" t="str">
        <x:v>Specialized device standards and OGC services have been intentionally combined.</x:v>
      </x:c>
      <x:c r="F27" s="239" t="str">
        <x:v>Historical SOS/STWS results are not current CSAPI / SensorML 3.0 profile implementation.</x:v>
      </x:c>
      <x:c r="G27" s="239" t="str">
        <x:v>Reuse architectural lesson; select any actual present dependency separately.</x:v>
      </x:c>
      <x:c r="H27" s="239" t="str">
        <x:v>Full primary paper; bounded demonstration</x:v>
      </x:c>
      <x:c r="I27" s="239" t="str">
        <x:v>2026-10-12</x:v>
      </x:c>
    </x:row>
    <x:row r="28" ht="115" customHeight="1">
      <x:c r="A28" s="240" t="str">
        <x:v>R23</x:v>
      </x:c>
      <x:c r="B28" s="239" t="str">
        <x:v>S51, S47</x:v>
      </x:c>
      <x:c r="C28" s="239" t="str">
        <x:v>SAPIENT, OSUS and OGC SWE</x:v>
      </x:c>
      <x:c r="D28" s="239" t="str">
        <x:v>Officially reported experimentation relationship</x:v>
      </x:c>
      <x:c r="E28" s="239" t="str">
        <x:v>Separate frameworks can have coordinated roles in a sensor integration environment.</x:v>
      </x:c>
      <x:c r="F28" s="239" t="str">
        <x:v>Participation is not a common information model, NATO mandate or completed MERLIN integration.</x:v>
      </x:c>
      <x:c r="G28" s="239" t="str">
        <x:v>Retrieve exact trial mappings only when they could change content selection.</x:v>
      </x:c>
      <x:c r="H28" s="239" t="str">
        <x:v>Official 2024 guide</x:v>
      </x:c>
      <x:c r="I28" s="239" t="str">
        <x:v>2026-10-12</x:v>
      </x:c>
    </x:row>
    <x:row r="29">
      <x:c r="A29" t="str">
        <x:v>R24</x:v>
      </x:c>
      <x:c r="B29" t="str">
        <x:v>S10, S09, S61, S62, S63–S68</x:v>
      </x:c>
      <x:c r="C29" t="str">
        <x:v>RFC 7326 organizing model + RFC 7577 and alternative battery sources</x:v>
      </x:c>
      <x:c r="D29" t="str">
        <x:v>Selected donor relationship, authored OGC mapping</x:v>
      </x:c>
      <x:c r="E29" t="str">
        <x:v>RFC 7326 supply, meter and aggregate distinct Energy Objects; RFC 7577 adds battery meaning.</x:v>
      </x:c>
      <x:c r="F29" t="str">
        <x:v>No native MIB, Redfish, OMA or CIM implementation follows from translating concepts.</x:v>
      </x:c>
      <x:c r="G29" t="str">
        <x:v>Approve common R16–R17 bindings and source/subject scope.</x:v>
      </x:c>
      <x:c r="H29" t="str">
        <x:v>Power Source v0.1; RFCs §§6–7 and cited battery clauses.</x:v>
      </x:c>
      <x:c r="I29" t="str">
        <x:v>2026-10-14</x:v>
      </x:c>
    </x:row>
    <x:row r="30">
      <x:c r="A30" t="str">
        <x:v>R25</x:v>
      </x:c>
      <x:c r="B30" t="str">
        <x:v>S85–S95, S01–S04</x:v>
      </x:c>
      <x:c r="C30" t="str">
        <x:v>ISA 6.0 component capability vs native OGC resources</x:v>
      </x:c>
      <x:c r="D30" t="str">
        <x:v>Conceptual reuse; competing native architecture</x:v>
      </x:c>
      <x:c r="E30" t="str">
        <x:v>ISA CCD is component-wide; OGC supplies process inputs/outputs, streams and command resources.</x:v>
      </x:c>
      <x:c r="F30" t="str">
        <x:v>An ISA Config/Status declaration is not a function-level MERLIN sensing-function.</x:v>
      </x:c>
      <x:c r="G30" t="str">
        <x:v>Clarify only actual capability contract R04/R09–R12 with IEEE source gate.</x:v>
      </x:c>
      <x:c r="H30" t="str">
        <x:v>ISA Phase 2 exact requirement reading.</x:v>
      </x:c>
      <x:c r="I30" t="str">
        <x:v>2026-10-14</x:v>
      </x:c>
    </x:row>
    <x:row r="31">
      <x:c r="A31" t="str">
        <x:v>R26</x:v>
      </x:c>
      <x:c r="B31" t="str">
        <x:v>S71–S84, S48, S01–S04</x:v>
      </x:c>
      <x:c r="C31" t="str">
        <x:v>IEEE 1451 channel TEDS vs MERLIN sensing function</x:v>
      </x:c>
      <x:c r="D31" t="str">
        <x:v>Provisional domain specialization</x:v>
      </x:c>
      <x:c r="E31" t="str">
        <x:v>TEDS has rich channel quantitative semantics; MERLIN function remains higher-level operational association.</x:v>
      </x:c>
      <x:c r="F31" t="str">
        <x:v>Playground lists cannot substitute for licensed 1451.0-2024 and 2145x obligations.</x:v>
      </x:c>
      <x:c r="G31" t="str">
        <x:v>Complete clause-level normative review for R04/R09–R12.</x:v>
      </x:c>
      <x:c r="H31" t="str">
        <x:v>IEEE Pass 1A public-source reconstruction.</x:v>
      </x:c>
      <x:c r="I31" t="str">
        <x:v>2026-10-14</x:v>
      </x:c>
    </x:row>
    <x:row r="32">
      <x:c r="A32" t="str">
        <x:v>R27</x:v>
      </x:c>
      <x:c r="B32" t="str">
        <x:v>S97–S99, S13, S01–S04</x:v>
      </x:c>
      <x:c r="C32" t="str">
        <x:v>OMS / SOSA-SSN / CSAPI semantics</x:v>
      </x:c>
      <x:c r="D32" t="str">
        <x:v>Approved conceptual model + W3C Working Draft comparison</x:v>
      </x:c>
      <x:c r="E32" t="str">
        <x:v>Clarify observer, observing procedure, host, deployment, observed property, FoI and dynamic record.</x:v>
      </x:c>
      <x:c r="F32" t="str">
        <x:v>2026 W3C CSAPI alignment is informative, not OWL equivalence.</x:v>
      </x:c>
      <x:c r="G32" t="str">
        <x:v>Inspect OMS 3.0 §10.5 before ObservingCapability design.</x:v>
      </x:c>
      <x:c r="H32" t="str">
        <x:v>Foundational assessment; approved OMS full text gated.</x:v>
      </x:c>
      <x:c r="I32" t="str">
        <x:v>2026-10-14</x:v>
      </x:c>
    </x:row>
    <x:row r="33">
      <x:c r="A33" t="str">
        <x:v>R28</x:v>
      </x:c>
      <x:c r="B33" t="str">
        <x:v>S100–S104, S109, S14–S15</x:v>
      </x:c>
      <x:c r="C33" t="str">
        <x:v>I-ADOPT variable semantics vs QUDT quantity kinds and UCUM units</x:v>
      </x:c>
      <x:c r="D33" t="str">
        <x:v>Complementary vocabularies, no stack import</x:v>
      </x:c>
      <x:c r="E33" t="str">
        <x:v>Composed variable clarifies object/matrix/property/statistic; quantity kind and unit are not the same concept.</x:v>
      </x:c>
      <x:c r="F33" t="str">
        <x:v>A generic Voltage or Concentration term does not fix measurement subject/basis.</x:v>
      </x:c>
      <x:c r="G33" t="str">
        <x:v>Curate only qualified observed-property definitions with demonstrated ambiguity.</x:v>
      </x:c>
      <x:c r="H33" t="str">
        <x:v>Foundational v1.0 source and evidence ledger.</x:v>
      </x:c>
      <x:c r="I33" t="str">
        <x:v>2026-10-14</x:v>
      </x:c>
    </x:row>
    <x:row r="34">
      <x:c r="A34" t="str">
        <x:v>R29</x:v>
      </x:c>
      <x:c r="B34" t="str">
        <x:v>S105–S106, S01–S04</x:v>
      </x:c>
      <x:c r="C34" t="str">
        <x:v>SWEET vocabulary and sensor-description classifications</x:v>
      </x:c>
      <x:c r="D34" t="str">
        <x:v>Optional term donor</x:v>
      </x:c>
      <x:c r="E34" t="str">
        <x:v>Earth/environmental controlled terms may help precise geophysical or met sensor type concepts.</x:v>
      </x:c>
      <x:c r="F34" t="str">
        <x:v>No complete SWEET import or master-pin-free dependency selected.</x:v>
      </x:c>
      <x:c r="G34" t="str">
        <x:v>Confirm exact ontology term and pinned version if one is adopted.</x:v>
      </x:c>
      <x:c r="H34" t="str">
        <x:v>Foundational v1.0 module inspection.</x:v>
      </x:c>
      <x:c r="I34" t="str">
        <x:v>2026-10-14</x:v>
      </x:c>
    </x:row>
    <x:row r="35">
      <x:c r="A35" t="str">
        <x:v>R30</x:v>
      </x:c>
      <x:c r="B35" t="str">
        <x:v>S53–S55, S10, S85–S95</x:v>
      </x:c>
      <x:c r="C35" t="str">
        <x:v>Network interface and topology vs power/equipment/mediation</x:v>
      </x:c>
      <x:c r="D35" t="str">
        <x:v>Different relationship meanings</x:v>
      </x:c>
      <x:c r="E35" t="str">
        <x:v>Network interfaces and topology are distinct from power interfaces, deployment and adapter mediation.</x:v>
      </x:c>
      <x:c r="F35" t="str">
        <x:v>Do not conflate an energy supply edge with Ethernet connection.</x:v>
      </x:c>
      <x:c r="G35" t="str">
        <x:v>Resolve separate R13–R17 relationship carriers at profile consolidation.</x:v>
      </x:c>
      <x:c r="H35" t="str">
        <x:v>RFC 2863/8343/8345 and ISA study.</x:v>
      </x:c>
      <x:c r="I35" t="str">
        <x:v>2026-10-14</x:v>
      </x:c>
    </x:row>
    <x:row r="36">
      <x:c r="A36" t="str">
        <x:v>R31</x:v>
      </x:c>
      <x:c r="B36" t="str">
        <x:v>S04, S60, S18, S90</x:v>
      </x:c>
      <x:c r="C36" t="str">
        <x:v>SystemEvent service access vs embedded history and ISA event updates</x:v>
      </x:c>
      <x:c r="D36" t="str">
        <x:v>Native optional OGC support with authored correlation</x:v>
      </x:c>
      <x:c r="E36" t="str">
        <x:v>CSAPI SystemEvent is preferred for queryable service history, while embedded SensorML Event remains descriptive alternative.</x:v>
      </x:c>
      <x:c r="F36" t="str">
        <x:v>ISA observation recall/update semantics are not equipment service history.</x:v>
      </x:c>
      <x:c r="G36" t="str">
        <x:v>Define event identity and optional access scope without duplicate events.</x:v>
      </x:c>
      <x:c r="H36" t="str">
        <x:v>Power Source §10; ISA Phase 2 §3.3.</x:v>
      </x:c>
      <x:c r="I36" t="str">
        <x:v>2026-10-14</x:v>
      </x:c>
    </x:row>
    <x:row r="37">
      <x:c r="A37" t="str">
        <x:v>R32</x:v>
      </x:c>
      <x:c r="B37" t="str">
        <x:v>S57–S60, S01–S04</x:v>
      </x:c>
      <x:c r="C37" t="str">
        <x:v>URI fragment / native embedded ID / JSON Pointer</x:v>
      </x:c>
      <x:c r="D37" t="str">
        <x:v>RFC grammar plus authored reference rule</x:v>
      </x:c>
      <x:c r="E37" t="str">
        <x:v>RFC3986 supports fragment URIs and SWE supplies id-bearing structures; owner#id resolution is profile-authored.</x:v>
      </x:c>
      <x:c r="F37" t="str">
        <x:v>RFC6901 JSON Pointer is not automatically the chosen lookup algorithm.</x:v>
      </x:c>
      <x:c r="G37" t="str">
        <x:v>Approve stable reference policy across all modules.</x:v>
      </x:c>
      <x:c r="H37" t="str">
        <x:v>Main primer v0.1 and Power Source §§8–9.</x:v>
      </x:c>
      <x:c r="I37" t="str">
        <x:v>2026-10-14</x:v>
      </x:c>
    </x:row>
    <x:row r="38">
      <x:c r="A38" t="str">
        <x:v>R33</x:v>
      </x:c>
      <x:c r="B38" t="str">
        <x:v>S86, S87, S89, S03</x:v>
      </x:c>
      <x:c r="C38" t="str">
        <x:v>ISA composition mediation vs physical composition</x:v>
      </x:c>
      <x:c r="D38" t="str">
        <x:v>Conceptual precedent, new candidate provenance item</x:v>
      </x:c>
      <x:c r="E38" t="str">
        <x:v>ISA CIC may represent non-ISA equipment with controlled visibility and taskability.</x:v>
      </x:c>
      <x:c r="F38" t="str">
        <x:v>Do not represent integration adapter as physically part of managed sensor unless true.</x:v>
      </x:c>
      <x:c r="G38" t="str">
        <x:v>Review adapter/proxy provenance R02/R15.</x:v>
      </x:c>
      <x:c r="H38" t="str">
        <x:v>ISA SDD §4.2.2; Phase 2 A4.</x:v>
      </x:c>
      <x:c r="I38" t="str">
        <x:v>2026-10-14</x:v>
      </x:c>
    </x:row>
    <x:row r="39">
      <x:c r="A39" t="str">
        <x:v>R34</x:v>
      </x:c>
      <x:c r="B39" t="str">
        <x:v>S97–S99, S01–S04</x:v>
      </x:c>
      <x:c r="C39" t="str">
        <x:v>Observed feature, actual observer, procedure and host</x:v>
      </x:c>
      <x:c r="D39" t="str">
        <x:v>Semantic clarification to native carriers</x:v>
      </x:c>
      <x:c r="E39" t="str">
        <x:v>Separation is useful to interpretation; figure examples clarify proximate/ultimate FoI.</x:v>
      </x:c>
      <x:c r="F39" t="str">
        <x:v>No new host resource or mandatory OMS API required by demonstration diagram.</x:v>
      </x:c>
      <x:c r="G39" t="str">
        <x:v>Check exact OMS provision before new profile obligation.</x:v>
      </x:c>
      <x:c r="H39" t="str">
        <x:v>Schleidt 2026 informative; SOSA WD informative alignment.</x:v>
      </x:c>
      <x:c r="I39" t="str">
        <x:v>2026-10-14</x:v>
      </x:c>
    </x:row>
    <x:row r="40">
      <x:c r="A40" t="str">
        <x:v>R35</x:v>
      </x:c>
      <x:c r="B40" t="str">
        <x:v>S90, S04</x:v>
      </x:c>
      <x:c r="C40" t="str">
        <x:v>ISA immutable Event update / CSAPI PATCH</x:v>
      </x:c>
      <x:c r="D40" t="str">
        <x:v>Conditional separate semantics</x:v>
      </x:c>
      <x:c r="E40" t="str">
        <x:v>ISA separates update, recall, resolution and track correlation; CSAPI PATCH represents resource update.</x:v>
      </x:c>
      <x:c r="F40" t="str">
        <x:v>No selected operator audit-lineage requirement established.</x:v>
      </x:c>
      <x:c r="G40" t="str">
        <x:v>Open only with an operational requirement that needs immutable correction.</x:v>
      </x:c>
      <x:c r="H40" t="str">
        <x:v>ISA Phase 2 B3; CSAPI Part 2 §15.</x:v>
      </x:c>
      <x:c r="I40" t="str">
        <x:v>2026-10-14</x:v>
      </x:c>
    </x:row>
    <x:row r="41">
      <x:c r="A41" t="str">
        <x:v>R36</x:v>
      </x:c>
      <x:c r="B41" t="str">
        <x:v>S71–S76, S25</x:v>
      </x:c>
      <x:c r="C41" t="str">
        <x:v>ISO/IEC/IEEE 2010 DISR vs IEEE 1451.0-2024</x:v>
      </x:c>
      <x:c r="D41" t="str">
        <x:v>Edition comparison and governance hold</x:v>
      </x:c>
      <x:c r="E41" t="str">
        <x:v>2010 21450/21451 entries are Emerging; 2024 IEEE 1451.0 is technically prioritized but not listed.</x:v>
      </x:c>
      <x:c r="F41" t="str">
        <x:v>Do not transfer 2010 status to 2024 or assume publication supersedes national adoption.</x:v>
      </x:c>
      <x:c r="G41" t="str">
        <x:v>Licensed 2010-to-2024 technical delta and selected dependency before DISR action.</x:v>
      </x:c>
      <x:c r="H41" t="str">
        <x:v>IEEE Pass 1A §2 and §11.</x:v>
      </x:c>
      <x:c r="I41" t="str">
        <x:v>2026-10-14</x:v>
      </x:c>
    </x:row>
  </x:sheetData>
  <x:mergeCells>
    <x:mergeCell ref="A1:I1"/>
    <x:mergeCell ref="A2:I3"/>
  </x:mergeCells>
  <x:pageMargins left="0.7" right="0.7" top="0.75" bottom="0.75" header="0.3" footer="0.3"/>
  <x:tableParts count="1">
    <x:tablePart xmlns:r="http://schemas.openxmlformats.org/officeDocument/2006/relationships" r:id="Rd160891e5f734b5b"/>
  </x:tableParts>
</x:worksheet>
</file>

<file path=xl/worksheets/sheet3.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0" hidden="0" customWidth="1"/>
    <x:col min="2" max="2" width="32" hidden="0" customWidth="1"/>
    <x:col min="3" max="3" width="40" hidden="0" customWidth="1"/>
    <x:col min="4" max="4" width="23" hidden="0" customWidth="1"/>
    <x:col min="5" max="5" width="20" hidden="0" customWidth="1"/>
    <x:col min="6" max="6" width="20" hidden="0" customWidth="1"/>
    <x:col min="7" max="7" width="26" hidden="0" customWidth="1"/>
    <x:col min="8" max="8" width="28" hidden="0" customWidth="1"/>
    <x:col min="9" max="9" width="38" hidden="0" customWidth="1"/>
    <x:col min="10" max="10" width="38" hidden="0" customWidth="1"/>
    <x:col min="11" max="11" width="38" hidden="0" customWidth="1"/>
    <x:col min="12" max="12" width="38" hidden="0" customWidth="1"/>
    <x:col min="13" max="13" width="40" hidden="0" customWidth="1"/>
  </x:cols>
  <x:sheetData>
    <x:row r="1" ht="34" customHeight="1">
      <x:c r="A1" s="95" t="str">
        <x:v>AUTHORITATIVE DISR BASELINE</x:v>
      </x:c>
      <x:c r="B1" s="95"/>
      <x:c r="C1" s="95"/>
      <x:c r="D1" s="95"/>
      <x:c r="E1" s="95"/>
      <x:c r="F1" s="95"/>
      <x:c r="G1" s="95"/>
      <x:c r="H1" s="95"/>
      <x:c r="I1" s="95"/>
      <x:c r="J1" s="95"/>
      <x:c r="K1" s="95"/>
      <x:c r="L1" s="95"/>
      <x:c r="M1" s="95"/>
    </x:row>
    <x:row r="2" ht="18" customHeight="1">
      <x:c r="A2" s="98" t="str">
        <x:v>Exact-edition records from Sam’s complete 10 October 2026 export. DoD and IC statuses remain separate.</x:v>
      </x:c>
      <x:c r="B2" s="98"/>
      <x:c r="C2" s="98"/>
      <x:c r="D2" s="98"/>
      <x:c r="E2" s="98"/>
      <x:c r="F2" s="98"/>
      <x:c r="G2" s="98"/>
      <x:c r="H2" s="98"/>
      <x:c r="I2" s="98"/>
      <x:c r="J2" s="98"/>
      <x:c r="K2" s="98"/>
      <x:c r="L2" s="98"/>
      <x:c r="M2" s="98"/>
    </x:row>
    <x:row r="3" ht="18" customHeight="1">
      <x:c r="A3" s="305" t="str">
        <x:v>HISTORICAL RECORD PRESERVED. Current v0.9 status: see Workstream Ledger, Applied R01-R20, Evidence Gates, Donor Coverage and Integration Gaps.</x:v>
      </x:c>
      <x:c r="B3" s="98"/>
      <x:c r="C3" s="98"/>
      <x:c r="D3" s="98"/>
      <x:c r="E3" s="98"/>
      <x:c r="F3" s="98"/>
      <x:c r="G3" s="98"/>
      <x:c r="H3" s="98"/>
      <x:c r="I3" s="98"/>
      <x:c r="J3" s="98"/>
      <x:c r="K3" s="98"/>
      <x:c r="L3" s="98"/>
      <x:c r="M3" s="98"/>
    </x:row>
    <x:row r="4" ht="9" customHeight="1">
      <x:c r="A4" s="89"/>
      <x:c r="B4" s="89"/>
      <x:c r="C4" s="89"/>
      <x:c r="D4" s="89"/>
      <x:c r="E4" s="89"/>
      <x:c r="F4" s="89"/>
      <x:c r="G4" s="89"/>
      <x:c r="H4" s="89"/>
      <x:c r="I4" s="89"/>
      <x:c r="J4" s="89"/>
      <x:c r="K4" s="89"/>
      <x:c r="L4" s="89"/>
      <x:c r="M4" s="89"/>
    </x:row>
    <x:row r="5" ht="45" customHeight="1">
      <x:c r="A5" s="101" t="str">
        <x:v>Standard identifier</x:v>
      </x:c>
      <x:c r="B5" s="101" t="str">
        <x:v>Standard title</x:v>
      </x:c>
      <x:c r="C5" s="101" t="str">
        <x:v>Standard class</x:v>
      </x:c>
      <x:c r="D5" s="101" t="str">
        <x:v>DoD status</x:v>
      </x:c>
      <x:c r="E5" s="101" t="str">
        <x:v>IC status</x:v>
      </x:c>
      <x:c r="F5" s="101" t="str">
        <x:v>SDO as recorded</x:v>
      </x:c>
      <x:c r="G5" s="101" t="str">
        <x:v>TWG primary</x:v>
      </x:c>
      <x:c r="H5" s="101" t="str">
        <x:v>TWG secondary</x:v>
      </x:c>
      <x:c r="I5" s="101" t="str">
        <x:v>Parsed source line</x:v>
      </x:c>
      <x:c r="J5" s="101" t="str">
        <x:v>Assessment boundary</x:v>
      </x:c>
      <x:c r="K5" s="101" t="str">
        <x:v>Supplied source filename</x:v>
      </x:c>
      <x:c r="L5" s="101" t="str">
        <x:v>Recovery locator</x:v>
      </x:c>
      <x:c r="M5" s="101" t="str">
        <x:v>Inspection date</x:v>
      </x:c>
    </x:row>
    <x:row r="6" ht="96" customHeight="1">
      <x:c r="A6" s="104" t="str">
        <x:v>ISO/IEC/IEEE 21451-1:2010</x:v>
      </x:c>
      <x:c r="B6" s="102" t="str">
        <x:v>Information technology -- Smart transducer interface for sensors and actuators --Part 1: Network Capable Application Processor (NCAP) information model, May 2010</x:v>
      </x:c>
      <x:c r="C6" s="102" t="str">
        <x:v>Standard</x:v>
      </x:c>
      <x:c r="D6" s="102" t="str">
        <x:v>Emerging</x:v>
      </x:c>
      <x:c r="E6" s="102" t="str">
        <x:v>IC-Emerging</x:v>
      </x:c>
      <x:c r="F6" s="102" t="str">
        <x:v>International Organization for Standardization</x:v>
      </x:c>
      <x:c r="G6" s="102" t="str">
        <x:v>Comms, Networks, and Physical Connectivity</x:v>
      </x:c>
      <x:c r="H6" s="102"/>
      <x:c r="I6" s="102" t="str">
        <x:v>2053</x:v>
      </x:c>
      <x:c r="J6" s="102" t="str">
        <x:v>Exact record in authoritative current baseline. Applies to this edition; not to every related source or an arbitrary semantic crosswalk.</x:v>
      </x:c>
      <x:c r="K6" s="102" t="str">
        <x:v>StandardsReport_20261010T134742.352 GMT.xlsx(1).csv</x:v>
      </x:c>
      <x:c r="L6" s="102" t="str">
        <x:v>libfile_41ef1e7ddf5c81918c3b67fe0ceec449</x:v>
      </x:c>
      <x:c r="M6" s="103" t="n">
        <x:v>46307</x:v>
      </x:c>
    </x:row>
    <x:row r="7" ht="109.5" customHeight="1">
      <x:c r="A7" s="105" t="str">
        <x:v>ISO/IEC/IEEE 21451-2:2010</x:v>
      </x:c>
      <x:c r="B7" s="89" t="str">
        <x:v>Information technology -- Smart transducer interface for sensors and actuators -- Part 2: Transducer to microprocessor communication protocols and Transducer Electronic Data Sheet (TEDS) formats, May 2010</x:v>
      </x:c>
      <x:c r="C7" s="89" t="str">
        <x:v>Standard</x:v>
      </x:c>
      <x:c r="D7" s="89" t="str">
        <x:v>Emerging</x:v>
      </x:c>
      <x:c r="E7" s="89" t="str">
        <x:v>IC-Emerging</x:v>
      </x:c>
      <x:c r="F7" s="89" t="str">
        <x:v>International Organization for Standardization</x:v>
      </x:c>
      <x:c r="G7" s="89" t="str">
        <x:v>Comms, Networks, and Physical Connectivity</x:v>
      </x:c>
      <x:c r="H7" s="89"/>
      <x:c r="I7" s="89" t="str">
        <x:v>2054</x:v>
      </x:c>
      <x:c r="J7" s="89" t="str">
        <x:v>Exact record in authoritative current baseline. Applies to this edition; not to every related source or an arbitrary semantic crosswalk.</x:v>
      </x:c>
      <x:c r="K7" s="89" t="str">
        <x:v>StandardsReport_20261010T134742.352 GMT.xlsx(1).csv</x:v>
      </x:c>
      <x:c r="L7" s="89" t="str">
        <x:v>libfile_41ef1e7ddf5c81918c3b67fe0ceec449</x:v>
      </x:c>
      <x:c r="M7" s="90" t="n">
        <x:v>46307</x:v>
      </x:c>
    </x:row>
    <x:row r="8" ht="109.5" customHeight="1">
      <x:c r="A8" s="104" t="str">
        <x:v>ISO/IEC/IEEE 21451-4:2010</x:v>
      </x:c>
      <x:c r="B8" s="102" t="str">
        <x:v>Information technology -- Smart transducer interface for sensors and actuators -- Part 4: Mixed-mode communication protocols and Transducer Electronic Data Sheet (TEDS) formats, May 2010</x:v>
      </x:c>
      <x:c r="C8" s="102" t="str">
        <x:v>Standard</x:v>
      </x:c>
      <x:c r="D8" s="102" t="str">
        <x:v>Emerging</x:v>
      </x:c>
      <x:c r="E8" s="102" t="str">
        <x:v>IC-Emerging</x:v>
      </x:c>
      <x:c r="F8" s="102" t="str">
        <x:v>International Organization for Standardization</x:v>
      </x:c>
      <x:c r="G8" s="102" t="str">
        <x:v>Comms, Networks, and Physical Connectivity</x:v>
      </x:c>
      <x:c r="H8" s="102"/>
      <x:c r="I8" s="102" t="str">
        <x:v>2055</x:v>
      </x:c>
      <x:c r="J8" s="102" t="str">
        <x:v>Exact record in authoritative current baseline. Applies to this edition; not to every related source or an arbitrary semantic crosswalk.</x:v>
      </x:c>
      <x:c r="K8" s="102" t="str">
        <x:v>StandardsReport_20261010T134742.352 GMT.xlsx(1).csv</x:v>
      </x:c>
      <x:c r="L8" s="102" t="str">
        <x:v>libfile_41ef1e7ddf5c81918c3b67fe0ceec449</x:v>
      </x:c>
      <x:c r="M8" s="103" t="n">
        <x:v>46307</x:v>
      </x:c>
    </x:row>
    <x:row r="9" ht="70" customHeight="1">
      <x:c r="A9" s="105" t="str">
        <x:v>STANAG 5525 Ed. 1</x:v>
      </x:c>
      <x:c r="B9" s="89" t="str">
        <x:v>Joint Command, Control, and Consultation Information Exchange Data Model (JC3IEDM), promulgated 26 June 2007</x:v>
      </x:c>
      <x:c r="C9" s="89" t="str">
        <x:v>Standard</x:v>
      </x:c>
      <x:c r="D9" s="89" t="str">
        <x:v>Mandated</x:v>
      </x:c>
      <x:c r="E9" s="89" t="str">
        <x:v>IC-Mandated</x:v>
      </x:c>
      <x:c r="F9" s="89" t="str">
        <x:v>NATO Standardization Office</x:v>
      </x:c>
      <x:c r="G9" s="89" t="str">
        <x:v>Air, Land, Sea, and Space</x:v>
      </x:c>
      <x:c r="H9" s="89" t="str">
        <x:v>Data || Modeling and Simulation</x:v>
      </x:c>
      <x:c r="I9" s="89" t="str">
        <x:v>2936</x:v>
      </x:c>
      <x:c r="J9" s="89" t="str">
        <x:v>Exact record in authoritative current baseline. Applies to this edition; not to every related source or an arbitrary semantic crosswalk.</x:v>
      </x:c>
      <x:c r="K9" s="89" t="str">
        <x:v>StandardsReport_20261010T134742.352 GMT.xlsx(1).csv</x:v>
      </x:c>
      <x:c r="L9" s="89" t="str">
        <x:v>libfile_41ef1e7ddf5c81918c3b67fe0ceec449</x:v>
      </x:c>
      <x:c r="M9" s="90" t="n">
        <x:v>46307</x:v>
      </x:c>
    </x:row>
    <x:row r="10" ht="70" customHeight="1">
      <x:c r="A10" s="104" t="str">
        <x:v>MIMOSA OSA-EAI 3.2.3a</x:v>
      </x:c>
      <x:c r="B10" s="102" t="str">
        <x:v>MIMOSA Open Systems Architecture - Enterprise Application Integration (OSA-EAI) 3.2.3a May 12, 2014</x:v>
      </x:c>
      <x:c r="C10" s="102" t="str">
        <x:v>Standard</x:v>
      </x:c>
      <x:c r="D10" s="102" t="str">
        <x:v>Mandated</x:v>
      </x:c>
      <x:c r="E10" s="102" t="str">
        <x:v>IC-Not Applicable</x:v>
      </x:c>
      <x:c r="F10" s="102" t="str">
        <x:v>Machinery Information Management Open Systems Alliance</x:v>
      </x:c>
      <x:c r="G10" s="102" t="str">
        <x:v>Business</x:v>
      </x:c>
      <x:c r="H10" s="102"/>
      <x:c r="I10" s="102" t="str">
        <x:v>3298</x:v>
      </x:c>
      <x:c r="J10" s="102" t="str">
        <x:v>Exact record in authoritative current baseline. Applies to this edition; not to every related source or an arbitrary semantic crosswalk.</x:v>
      </x:c>
      <x:c r="K10" s="102" t="str">
        <x:v>StandardsReport_20261010T134742.352 GMT.xlsx(1).csv</x:v>
      </x:c>
      <x:c r="L10" s="102" t="str">
        <x:v>libfile_41ef1e7ddf5c81918c3b67fe0ceec449</x:v>
      </x:c>
      <x:c r="M10" s="103" t="n">
        <x:v>46307</x:v>
      </x:c>
    </x:row>
    <x:row r="11" ht="70" customHeight="1">
      <x:c r="A11" s="105" t="str">
        <x:v>MIMOSA OSA-CBM v3.3.1</x:v>
      </x:c>
      <x:c r="B11" s="89" t="str">
        <x:v>MIMOSA Open Systems Architecture-Condition Based Maintenance Version 3.3.1, 29 June 2010</x:v>
      </x:c>
      <x:c r="C11" s="89" t="str">
        <x:v>Standard</x:v>
      </x:c>
      <x:c r="D11" s="89" t="str">
        <x:v>Mandated</x:v>
      </x:c>
      <x:c r="E11" s="89" t="str">
        <x:v>IC-Mandated</x:v>
      </x:c>
      <x:c r="F11" s="89" t="str">
        <x:v>Machinery Information Management Open Systems Alliance</x:v>
      </x:c>
      <x:c r="G11" s="89" t="str">
        <x:v>Business</x:v>
      </x:c>
      <x:c r="H11" s="89"/>
      <x:c r="I11" s="89" t="str">
        <x:v>3309</x:v>
      </x:c>
      <x:c r="J11" s="89" t="str">
        <x:v>Exact record in authoritative current baseline. Applies to this edition; not to every related source or an arbitrary semantic crosswalk.</x:v>
      </x:c>
      <x:c r="K11" s="89" t="str">
        <x:v>StandardsReport_20261010T134742.352 GMT.xlsx(1).csv</x:v>
      </x:c>
      <x:c r="L11" s="89" t="str">
        <x:v>libfile_41ef1e7ddf5c81918c3b67fe0ceec449</x:v>
      </x:c>
      <x:c r="M11" s="90" t="n">
        <x:v>46307</x:v>
      </x:c>
    </x:row>
    <x:row r="12" ht="70" customHeight="1">
      <x:c r="A12" s="104" t="str">
        <x:v>IETF RFC 8348</x:v>
      </x:c>
      <x:c r="B12" s="102" t="str">
        <x:v>A YANG Data Model for Hardware Management, March 2018</x:v>
      </x:c>
      <x:c r="C12" s="102" t="str">
        <x:v>Standard</x:v>
      </x:c>
      <x:c r="D12" s="102" t="str">
        <x:v>Mandated</x:v>
      </x:c>
      <x:c r="E12" s="102" t="str">
        <x:v>IC-Mandated</x:v>
      </x:c>
      <x:c r="F12" s="102" t="str">
        <x:v>Internet Engineering Task Force</x:v>
      </x:c>
      <x:c r="G12" s="102" t="str">
        <x:v>Comms, Networks, and Physical Connectivity</x:v>
      </x:c>
      <x:c r="H12" s="102" t="str">
        <x:v>IA / CyberSecurity</x:v>
      </x:c>
      <x:c r="I12" s="102" t="str">
        <x:v>4447</x:v>
      </x:c>
      <x:c r="J12" s="102" t="str">
        <x:v>Exact record in authoritative current baseline. Applies to this edition; not to every related source or an arbitrary semantic crosswalk.</x:v>
      </x:c>
      <x:c r="K12" s="102" t="str">
        <x:v>StandardsReport_20261010T134742.352 GMT.xlsx(1).csv</x:v>
      </x:c>
      <x:c r="L12" s="102" t="str">
        <x:v>libfile_41ef1e7ddf5c81918c3b67fe0ceec449</x:v>
      </x:c>
      <x:c r="M12" s="103" t="n">
        <x:v>46307</x:v>
      </x:c>
    </x:row>
    <x:row r="13" ht="70" customHeight="1">
      <x:c r="A13" s="105" t="str">
        <x:v>MIMOSA OSA-CBM v3.1</x:v>
      </x:c>
      <x:c r="B13" s="89" t="str">
        <x:v>MIMOSA Open Systems Architecture-Condition Based Maintenance Version 3.1, 1 August 2006</x:v>
      </x:c>
      <x:c r="C13" s="89" t="str">
        <x:v>Standard</x:v>
      </x:c>
      <x:c r="D13" s="89" t="str">
        <x:v>Retired</x:v>
      </x:c>
      <x:c r="E13" s="89" t="str">
        <x:v>IC-TBD</x:v>
      </x:c>
      <x:c r="F13" s="89" t="str">
        <x:v>Machinery Information Management Open Systems Alliance</x:v>
      </x:c>
      <x:c r="G13" s="89" t="str">
        <x:v>Business</x:v>
      </x:c>
      <x:c r="H13" s="89"/>
      <x:c r="I13" s="89" t="str">
        <x:v>72</x:v>
      </x:c>
      <x:c r="J13" s="89" t="str">
        <x:v>Exact record in authoritative current baseline. Applies to this edition; not to every related source or an arbitrary semantic crosswalk.</x:v>
      </x:c>
      <x:c r="K13" s="89" t="str">
        <x:v>StandardsReport_20261010T134742.352 GMT.xlsx(1).csv</x:v>
      </x:c>
      <x:c r="L13" s="89" t="str">
        <x:v>libfile_41ef1e7ddf5c81918c3b67fe0ceec449</x:v>
      </x:c>
      <x:c r="M13" s="90" t="n">
        <x:v>46307</x:v>
      </x:c>
    </x:row>
    <x:row r="14" ht="70" customHeight="1">
      <x:c r="A14" s="104" t="str">
        <x:v>MIMOSA OSA-EAI 3.2.1</x:v>
      </x:c>
      <x:c r="B14" s="102" t="str">
        <x:v>MIMOSA Open Systems Architecture - Enterprise Application Integration (OSA-EAI) 3.2.1, 31 December 2008</x:v>
      </x:c>
      <x:c r="C14" s="102" t="str">
        <x:v>Standard</x:v>
      </x:c>
      <x:c r="D14" s="102" t="str">
        <x:v>Retired</x:v>
      </x:c>
      <x:c r="E14" s="102" t="str">
        <x:v>IC-TBD</x:v>
      </x:c>
      <x:c r="F14" s="102" t="str">
        <x:v>Other</x:v>
      </x:c>
      <x:c r="G14" s="102" t="str">
        <x:v>Business</x:v>
      </x:c>
      <x:c r="H14" s="102"/>
      <x:c r="I14" s="102" t="str">
        <x:v>1890</x:v>
      </x:c>
      <x:c r="J14" s="102" t="str">
        <x:v>Exact record in authoritative current baseline. Applies to this edition; not to every related source or an arbitrary semantic crosswalk.</x:v>
      </x:c>
      <x:c r="K14" s="102" t="str">
        <x:v>StandardsReport_20261010T134742.352 GMT.xlsx(1).csv</x:v>
      </x:c>
      <x:c r="L14" s="102" t="str">
        <x:v>libfile_41ef1e7ddf5c81918c3b67fe0ceec449</x:v>
      </x:c>
      <x:c r="M14" s="103" t="n">
        <x:v>46307</x:v>
      </x:c>
    </x:row>
    <x:row r="15" ht="70" customHeight="1">
      <x:c r="A15" s="105" t="str">
        <x:v>MIMOSA OSA-EAI-2004</x:v>
      </x:c>
      <x:c r="B15" s="89" t="str">
        <x:v>MIMOSA Open Systems Architecture-Enterprise Application Integration</x:v>
      </x:c>
      <x:c r="C15" s="89" t="str">
        <x:v>Standard</x:v>
      </x:c>
      <x:c r="D15" s="89" t="str">
        <x:v>Retired</x:v>
      </x:c>
      <x:c r="E15" s="89" t="str">
        <x:v>IC-TBD</x:v>
      </x:c>
      <x:c r="F15" s="89" t="str">
        <x:v>Machinery Information Management Open Systems Alliance</x:v>
      </x:c>
      <x:c r="G15" s="89" t="str">
        <x:v>Business</x:v>
      </x:c>
      <x:c r="H15" s="89"/>
      <x:c r="I15" s="89" t="str">
        <x:v>4993</x:v>
      </x:c>
      <x:c r="J15" s="89" t="str">
        <x:v>Exact record in authoritative current baseline. Applies to this edition; not to every related source or an arbitrary semantic crosswalk.</x:v>
      </x:c>
      <x:c r="K15" s="89" t="str">
        <x:v>StandardsReport_20261010T134742.352 GMT.xlsx(1).csv</x:v>
      </x:c>
      <x:c r="L15" s="89" t="str">
        <x:v>libfile_41ef1e7ddf5c81918c3b67fe0ceec449</x:v>
      </x:c>
      <x:c r="M15" s="90" t="n">
        <x:v>46307</x:v>
      </x:c>
    </x:row>
    <x:row r="16" ht="82.5" customHeight="1">
      <x:c r="A16" s="104" t="str">
        <x:v>OGC CS API - Part 1, v1.0, 23-001</x:v>
      </x:c>
      <x:c r="B16" s="102" t="str">
        <x:v>OGC API – Connected Systems - Part 1: Feature Resources, v1.0, 2025-07-16</x:v>
      </x:c>
      <x:c r="C16" s="102" t="str">
        <x:v>Standard</x:v>
      </x:c>
      <x:c r="D16" s="102" t="str">
        <x:v>Emerging</x:v>
      </x:c>
      <x:c r="E16" s="102" t="str">
        <x:v>IC-Emerging</x:v>
      </x:c>
      <x:c r="F16" s="102" t="str">
        <x:v>Open Geospatial Consortium</x:v>
      </x:c>
      <x:c r="G16" s="102" t="str">
        <x:v>Geospatial Intelligence</x:v>
      </x:c>
      <x:c r="H16" s="102"/>
      <x:c r="I16" s="102" t="n">
        <x:v>592</x:v>
      </x:c>
      <x:c r="J16" s="102" t="str">
        <x:v>Exact record in authoritative current baseline. Applies to this edition; not to every related source or an arbitrary semantic crosswalk.</x:v>
      </x:c>
      <x:c r="K16" s="102" t="str">
        <x:v>StandardsReport_20261010T134742.352 GMT.xlsx(1).csv</x:v>
      </x:c>
      <x:c r="L16" s="102" t="str">
        <x:v>libfile_41ef1e7ddf5c81918c3b67fe0ceec449</x:v>
      </x:c>
      <x:c r="M16" s="103" t="n">
        <x:v>46307</x:v>
      </x:c>
    </x:row>
    <x:row r="17" ht="70" customHeight="1">
      <x:c r="A17" s="105" t="str">
        <x:v>OGC SensorML – V3.0, 23-000</x:v>
      </x:c>
      <x:c r="B17" s="89" t="str">
        <x:v>OGC SensorML Encoding Standard, v3.0, 2025-07-16</x:v>
      </x:c>
      <x:c r="C17" s="89" t="str">
        <x:v>Standard</x:v>
      </x:c>
      <x:c r="D17" s="89" t="str">
        <x:v>Emerging</x:v>
      </x:c>
      <x:c r="E17" s="89" t="str">
        <x:v>IC-Emerging</x:v>
      </x:c>
      <x:c r="F17" s="89" t="str">
        <x:v>Open Geospatial Consortium</x:v>
      </x:c>
      <x:c r="G17" s="89" t="str">
        <x:v>Geospatial Intelligence</x:v>
      </x:c>
      <x:c r="H17" s="89"/>
      <x:c r="I17" s="89" t="n">
        <x:v>3580</x:v>
      </x:c>
      <x:c r="J17" s="89" t="str">
        <x:v>Exact record in authoritative current baseline. Applies to this edition; not to every related source or an arbitrary semantic crosswalk.</x:v>
      </x:c>
      <x:c r="K17" s="89" t="str">
        <x:v>StandardsReport_20261010T134742.352 GMT.xlsx(1).csv</x:v>
      </x:c>
      <x:c r="L17" s="89" t="str">
        <x:v>libfile_41ef1e7ddf5c81918c3b67fe0ceec449</x:v>
      </x:c>
      <x:c r="M17" s="90" t="n">
        <x:v>46307</x:v>
      </x:c>
    </x:row>
    <x:row r="18" ht="70" customHeight="1">
      <x:c r="A18" s="104" t="str">
        <x:v>OGC CS API Part: 2, v1.0, 23-002</x:v>
      </x:c>
      <x:c r="B18" s="102" t="str">
        <x:v>OGC API – Connected Systems - Part 2: Dynamic Data, v1.0, 2025-07-16</x:v>
      </x:c>
      <x:c r="C18" s="102" t="str">
        <x:v>Standard</x:v>
      </x:c>
      <x:c r="D18" s="102" t="str">
        <x:v>Emerging</x:v>
      </x:c>
      <x:c r="E18" s="102" t="str">
        <x:v>IC-Emerging</x:v>
      </x:c>
      <x:c r="F18" s="102" t="str">
        <x:v>Open Geospatial Consortium</x:v>
      </x:c>
      <x:c r="G18" s="102" t="str">
        <x:v>Geospatial Intelligence</x:v>
      </x:c>
      <x:c r="H18" s="102"/>
      <x:c r="I18" s="102" t="n">
        <x:v>3699</x:v>
      </x:c>
      <x:c r="J18" s="102" t="str">
        <x:v>Exact record in authoritative current baseline. Applies to this edition; not to every related source or an arbitrary semantic crosswalk.</x:v>
      </x:c>
      <x:c r="K18" s="102" t="str">
        <x:v>StandardsReport_20261010T134742.352 GMT.xlsx(1).csv</x:v>
      </x:c>
      <x:c r="L18" s="102" t="str">
        <x:v>libfile_41ef1e7ddf5c81918c3b67fe0ceec449</x:v>
      </x:c>
      <x:c r="M18" s="103" t="n">
        <x:v>46307</x:v>
      </x:c>
    </x:row>
    <x:row r="19" ht="70" customHeight="1">
      <x:c r="A19" s="105" t="str">
        <x:v>OGC SWE Common – V3.0, 24-014</x:v>
      </x:c>
      <x:c r="B19" s="89" t="str">
        <x:v>OGC SWE Common Data Model Encoding Standard, v3.0, 2025-07-16</x:v>
      </x:c>
      <x:c r="C19" s="89" t="str">
        <x:v>Standard</x:v>
      </x:c>
      <x:c r="D19" s="89" t="str">
        <x:v>Emerging</x:v>
      </x:c>
      <x:c r="E19" s="89" t="str">
        <x:v>IC-Emerging</x:v>
      </x:c>
      <x:c r="F19" s="89" t="str">
        <x:v>Open Geospatial Consortium</x:v>
      </x:c>
      <x:c r="G19" s="89" t="str">
        <x:v>Geospatial Intelligence</x:v>
      </x:c>
      <x:c r="H19" s="89"/>
      <x:c r="I19" s="89" t="n">
        <x:v>5269</x:v>
      </x:c>
      <x:c r="J19" s="89" t="str">
        <x:v>Exact record in authoritative current baseline. Applies to this edition; not to every related source or an arbitrary semantic crosswalk.</x:v>
      </x:c>
      <x:c r="K19" s="89" t="str">
        <x:v>StandardsReport_20261010T134742.352 GMT.xlsx(1).csv</x:v>
      </x:c>
      <x:c r="L19" s="89" t="str">
        <x:v>libfile_41ef1e7ddf5c81918c3b67fe0ceec449</x:v>
      </x:c>
      <x:c r="M19" s="90" t="n">
        <x:v>46307</x:v>
      </x:c>
    </x:row>
    <x:row r="20" ht="70" customHeight="1">
      <x:c r="A20" s="104" t="str">
        <x:v>OGC SensorML: v.2.0.0</x:v>
      </x:c>
      <x:c r="B20" s="102" t="str">
        <x:v>OGC SensorML: Model and XML Encoding Standard, v.2.0.0, 2014-02-04</x:v>
      </x:c>
      <x:c r="C20" s="102" t="str">
        <x:v>Standard</x:v>
      </x:c>
      <x:c r="D20" s="102" t="str">
        <x:v>Mandated</x:v>
      </x:c>
      <x:c r="E20" s="102" t="str">
        <x:v>IC-Mandated</x:v>
      </x:c>
      <x:c r="F20" s="102" t="str">
        <x:v>Open Geospatial Consortium</x:v>
      </x:c>
      <x:c r="G20" s="102" t="str">
        <x:v>Geospatial Intelligence</x:v>
      </x:c>
      <x:c r="H20" s="102" t="str">
        <x:v>Air, Land, Sea, and Space</x:v>
      </x:c>
      <x:c r="I20" s="102" t="n">
        <x:v>1841</x:v>
      </x:c>
      <x:c r="J20" s="102" t="str">
        <x:v>Exact record in authoritative current baseline. Applies to this edition; not to every related source or an arbitrary semantic crosswalk.</x:v>
      </x:c>
      <x:c r="K20" s="102" t="str">
        <x:v>StandardsReport_20261010T134742.352 GMT.xlsx(1).csv</x:v>
      </x:c>
      <x:c r="L20" s="102" t="str">
        <x:v>libfile_41ef1e7ddf5c81918c3b67fe0ceec449</x:v>
      </x:c>
      <x:c r="M20" s="103" t="n">
        <x:v>46307</x:v>
      </x:c>
    </x:row>
    <x:row r="21" ht="70" customHeight="1">
      <x:c r="A21" s="105" t="str">
        <x:v>SWE Common 2.0</x:v>
      </x:c>
      <x:c r="B21" s="89" t="str">
        <x:v>OGC SWE Common Data Model Encoding Standard v2.0, 2011-01-04</x:v>
      </x:c>
      <x:c r="C21" s="89" t="str">
        <x:v>Standard</x:v>
      </x:c>
      <x:c r="D21" s="89" t="str">
        <x:v>Mandated</x:v>
      </x:c>
      <x:c r="E21" s="89" t="str">
        <x:v>IC-Mandated</x:v>
      </x:c>
      <x:c r="F21" s="89" t="str">
        <x:v>Open Geospatial Consortium</x:v>
      </x:c>
      <x:c r="G21" s="89" t="str">
        <x:v>Geospatial Intelligence</x:v>
      </x:c>
      <x:c r="H21" s="89"/>
      <x:c r="I21" s="89" t="n">
        <x:v>1188</x:v>
      </x:c>
      <x:c r="J21" s="89" t="str">
        <x:v>Exact record in authoritative current baseline. Applies to this edition; not to every related source or an arbitrary semantic crosswalk.</x:v>
      </x:c>
      <x:c r="K21" s="89" t="str">
        <x:v>StandardsReport_20261010T134742.352 GMT.xlsx(1).csv</x:v>
      </x:c>
      <x:c r="L21" s="89" t="str">
        <x:v>libfile_41ef1e7ddf5c81918c3b67fe0ceec449</x:v>
      </x:c>
      <x:c r="M21" s="90" t="n">
        <x:v>46307</x:v>
      </x:c>
    </x:row>
    <x:row r="22" ht="96" customHeight="1">
      <x:c r="A22" s="104" t="str">
        <x:v>ISO/IEC TR 10000-1</x:v>
      </x:c>
      <x:c r="B22" s="102" t="str">
        <x:v>Information technology -- Framework and taxonomy of International Standardized Profiles -- Part 1: General principles and documentation framework, Fourth edition, 1998-11-01</x:v>
      </x:c>
      <x:c r="C22" s="102" t="str">
        <x:v>I/G</x:v>
      </x:c>
      <x:c r="D22" s="102" t="str">
        <x:v>Active</x:v>
      </x:c>
      <x:c r="E22" s="102" t="str">
        <x:v>IC-Active</x:v>
      </x:c>
      <x:c r="F22" s="102" t="str">
        <x:v>International Organization for Standardization</x:v>
      </x:c>
      <x:c r="G22" s="102" t="str">
        <x:v>Data</x:v>
      </x:c>
      <x:c r="H22" s="102" t="str">
        <x:v>Geospatial Intelligence || IA / CyberSecurity</x:v>
      </x:c>
      <x:c r="I22" s="102" t="n">
        <x:v>1221</x:v>
      </x:c>
      <x:c r="J22" s="102" t="str">
        <x:v>Exact record in authoritative current baseline. Applies to this edition; not to every related source or an arbitrary semantic crosswalk.</x:v>
      </x:c>
      <x:c r="K22" s="102" t="str">
        <x:v>StandardsReport_20261010T134742.352 GMT.xlsx(1).csv</x:v>
      </x:c>
      <x:c r="L22" s="102" t="str">
        <x:v>libfile_41ef1e7ddf5c81918c3b67fe0ceec449</x:v>
      </x:c>
      <x:c r="M22" s="103" t="n">
        <x:v>46307</x:v>
      </x:c>
    </x:row>
    <x:row r="23" ht="120" customHeight="1">
      <x:c r="A23" s="239" t="str">
        <x:v>IEEE 1451.0-2007</x:v>
      </x:c>
      <x:c r="B23" s="239" t="str">
        <x:v>IEEE Standard for a Smart Transducer Interface for Sensors and Actuators -- Common Functions, Communication Protocols, and Transducer Electronic Data Sheet (TEDS) Formats, 01 October 2007</x:v>
      </x:c>
      <x:c r="C23" s="239" t="str">
        <x:v>Standard</x:v>
      </x:c>
      <x:c r="D23" s="239" t="str">
        <x:v>Retired</x:v>
      </x:c>
      <x:c r="E23" s="239" t="str">
        <x:v>IC-Retired</x:v>
      </x:c>
      <x:c r="F23" s="239" t="str">
        <x:v>Institute of Electrical and Electronics Engineers, Inc.</x:v>
      </x:c>
      <x:c r="G23" s="239" t="str">
        <x:v>Comms, Networks, and Physical Connectivity</x:v>
      </x:c>
      <x:c r="H23" s="239"/>
      <x:c r="I23" s="239" t="str">
        <x:v>1151</x:v>
      </x:c>
      <x:c r="J23" s="239" t="str">
        <x:v>Exact historical edition used in the paper’s era; not transferred to 21451:2010 or later releases.</x:v>
      </x:c>
      <x:c r="K23" s="239" t="str">
        <x:v>StandardsReport_20261010T134742.352 GMT.xlsx(1).csv</x:v>
      </x:c>
      <x:c r="L23" s="239" t="str">
        <x:v>libfile_41ef1e7ddf5c81918c3b67fe0ceec449</x:v>
      </x:c>
      <x:c r="M23" s="239" t="str">
        <x:v>2026-10-12</x:v>
      </x:c>
    </x:row>
    <x:row r="24" ht="120" customHeight="1">
      <x:c r="A24" s="239" t="str">
        <x:v>IEEE 1451.1-1999</x:v>
      </x:c>
      <x:c r="B24" s="239" t="str">
        <x:v>IEEE Standard for a Smart Transducer Interface for Sensors and Actuators-Network Capable Application Processor (NCAP) Information Model, 1999</x:v>
      </x:c>
      <x:c r="C24" s="239" t="str">
        <x:v>Standard</x:v>
      </x:c>
      <x:c r="D24" s="239" t="str">
        <x:v>Retired</x:v>
      </x:c>
      <x:c r="E24" s="239" t="str">
        <x:v>IC-Retired</x:v>
      </x:c>
      <x:c r="F24" s="239" t="str">
        <x:v>Institute of Electrical and Electronics Engineers, Inc.</x:v>
      </x:c>
      <x:c r="G24" s="239" t="str">
        <x:v>Comms, Networks, and Physical Connectivity</x:v>
      </x:c>
      <x:c r="H24" s="239"/>
      <x:c r="I24" s="239" t="str">
        <x:v>1152</x:v>
      </x:c>
      <x:c r="J24" s="239" t="str">
        <x:v>Exact older record; the separate 21451-1:2010 record remains Emerging / IC-Emerging.</x:v>
      </x:c>
      <x:c r="K24" s="239" t="str">
        <x:v>StandardsReport_20261010T134742.352 GMT.xlsx(1).csv</x:v>
      </x:c>
      <x:c r="L24" s="239" t="str">
        <x:v>libfile_41ef1e7ddf5c81918c3b67fe0ceec449</x:v>
      </x:c>
      <x:c r="M24" s="239" t="str">
        <x:v>2026-10-12</x:v>
      </x:c>
    </x:row>
    <x:row r="25">
      <x:c r="A25" t="str">
        <x:v>ISO/IEC/IEEE 21450:2010</x:v>
      </x:c>
      <x:c r="B25" t="str">
        <x:v>Information technology — Smart transducer interface for sensors and actuators — Common functions, communication protocols and Transducer Electronic Data Sheet (TEDS) formats</x:v>
      </x:c>
      <x:c r="C25" t="str">
        <x:v>Standard</x:v>
      </x:c>
      <x:c r="D25" t="str">
        <x:v>Emerging</x:v>
      </x:c>
      <x:c r="E25" t="str">
        <x:v>IC-Emerging</x:v>
      </x:c>
      <x:c r="F25" t="str">
        <x:v>International Organization for Standardization</x:v>
      </x:c>
      <x:c r="G25" t="str">
        <x:v>Comms, Networks, and Physical Connectivity</x:v>
      </x:c>
      <x:c r="H25" t="str"/>
      <x:c r="I25" t="str">
        <x:v>2052</x:v>
      </x:c>
      <x:c r="J25" t="str">
        <x:v>Authoritative 10 Oct full export; exactly this 2010 edition, not IEEE 1451.0-2024</x:v>
      </x:c>
      <x:c r="K25" t="str">
        <x:v>StandardsReport_20261010T134742.352 GMT.xlsx(1).csv</x:v>
      </x:c>
      <x:c r="L25" t="str">
        <x:v>libfile_41ef1e7ddf5c81918c3b67fe0ceec449</x:v>
      </x:c>
      <x:c r="M25" t="str">
        <x:v>2026-10-14</x:v>
      </x:c>
    </x:row>
  </x:sheetData>
  <x:mergeCells>
    <x:mergeCell ref="A1:M1"/>
    <x:mergeCell ref="A2:M3"/>
  </x:mergeCells>
  <x:conditionalFormatting sqref="D6:E15">
    <x:cfRule type="expression" dxfId="1" priority="1">
      <x:formula>$D6="Retired"</x:formula>
    </x:cfRule>
  </x:conditionalFormatting>
  <x:pageMargins left="0.7" right="0.7" top="0.75" bottom="0.75" header="0.3" footer="0.3"/>
  <x:tableParts count="1">
    <x:tablePart xmlns:r="http://schemas.openxmlformats.org/officeDocument/2006/relationships" r:id="R3325ba17cd474b23"/>
  </x:tableParts>
</x:worksheet>
</file>

<file path=xl/worksheets/sheet4.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9" hidden="0" customWidth="1"/>
    <x:col min="2" max="2" width="34" hidden="0" customWidth="1"/>
    <x:col min="3" max="3" width="40" hidden="0" customWidth="1"/>
    <x:col min="4" max="4" width="23" hidden="0" customWidth="1"/>
    <x:col min="5" max="5" width="25" hidden="0" customWidth="1"/>
    <x:col min="6" max="6" width="35" hidden="0" customWidth="1"/>
    <x:col min="7" max="7" width="35" hidden="0" customWidth="1"/>
    <x:col min="8" max="8" width="35" hidden="0" customWidth="1"/>
    <x:col min="9" max="9" width="40" hidden="0" customWidth="1"/>
  </x:cols>
  <x:sheetData>
    <x:row r="1" ht="34" customHeight="1">
      <x:c r="A1" s="95" t="str">
        <x:v>PROJECT SOURCE RECOVERY</x:v>
      </x:c>
      <x:c r="B1" s="95"/>
      <x:c r="C1" s="95"/>
      <x:c r="D1" s="95"/>
      <x:c r="E1" s="95"/>
      <x:c r="F1" s="95"/>
      <x:c r="G1" s="95"/>
      <x:c r="H1" s="95"/>
      <x:c r="I1" s="95"/>
    </x:row>
    <x:row r="2" ht="18" customHeight="1">
      <x:c r="A2" s="98" t="str">
        <x:v>Continuity and source evidence. This research does not amend the PBI, Power Source, profiling review, or Glaux.</x:v>
      </x:c>
      <x:c r="B2" s="98"/>
      <x:c r="C2" s="98"/>
      <x:c r="D2" s="98"/>
      <x:c r="E2" s="98"/>
      <x:c r="F2" s="98"/>
      <x:c r="G2" s="98"/>
      <x:c r="H2" s="98"/>
      <x:c r="I2" s="98"/>
    </x:row>
    <x:row r="3" ht="18" customHeight="1">
      <x:c r="A3" s="305" t="str">
        <x:v>HISTORICAL RECORD PRESERVED. Current v0.9 status: see Workstream Ledger, Applied R01-R20, Evidence Gates, Donor Coverage and Integration Gaps.</x:v>
      </x:c>
      <x:c r="B3" s="98"/>
      <x:c r="C3" s="98"/>
      <x:c r="D3" s="98"/>
      <x:c r="E3" s="98"/>
      <x:c r="F3" s="98"/>
      <x:c r="G3" s="98"/>
      <x:c r="H3" s="98"/>
      <x:c r="I3" s="98"/>
    </x:row>
    <x:row r="4" ht="9" customHeight="1">
      <x:c r="A4" s="89"/>
      <x:c r="B4" s="89"/>
      <x:c r="C4" s="89"/>
      <x:c r="D4" s="89"/>
      <x:c r="E4" s="89"/>
      <x:c r="F4" s="89"/>
      <x:c r="G4" s="89"/>
      <x:c r="H4" s="89"/>
      <x:c r="I4" s="89"/>
    </x:row>
    <x:row r="5" ht="45" customHeight="1">
      <x:c r="A5" s="101" t="str">
        <x:v>ID</x:v>
      </x:c>
      <x:c r="B5" s="101" t="str">
        <x:v>Role</x:v>
      </x:c>
      <x:c r="C5" s="101" t="str">
        <x:v>Filename</x:v>
      </x:c>
      <x:c r="D5" s="101" t="str">
        <x:v>Document date / edition</x:v>
      </x:c>
      <x:c r="E5" s="101" t="str">
        <x:v>Recovery state</x:v>
      </x:c>
      <x:c r="F5" s="101" t="str">
        <x:v>Inspection scope</x:v>
      </x:c>
      <x:c r="G5" s="101" t="str">
        <x:v>Contribution to this research</x:v>
      </x:c>
      <x:c r="H5" s="101" t="str">
        <x:v>Recovery locator</x:v>
      </x:c>
      <x:c r="I5" s="101" t="str">
        <x:v>Limits / next action</x:v>
      </x:c>
    </x:row>
    <x:row r="6" ht="70" customHeight="1">
      <x:c r="A6" s="104" t="str">
        <x:v>P00</x:v>
      </x:c>
      <x:c r="B6" s="102" t="str">
        <x:v>Domain-model PITON</x:v>
      </x:c>
      <x:c r="C6" s="102" t="str">
        <x:v>PITON_MERLIN_Domain_Information_Models_and_CSAPI_Integration_11OCT2026(1).docx</x:v>
      </x:c>
      <x:c r="D6" s="102" t="str">
        <x:v>11 October 2026</x:v>
      </x:c>
      <x:c r="E6" s="102" t="str">
        <x:v>Read—full handoff</x:v>
      </x:c>
      <x:c r="F6" s="102" t="str">
        <x:v>All 16 pages; supplied in this conversation</x:v>
      </x:c>
      <x:c r="G6" s="102" t="str">
        <x:v>Original purpose and evidence; superseded next-action and completeness caveats</x:v>
      </x:c>
      <x:c r="H6" s="102" t="str">
        <x:v>/mnt/data/PITON_MERLIN_Domain_Information_Models_and_CSAPI_Integration_11OCT2026(1).docx</x:v>
      </x:c>
      <x:c r="I6" s="102" t="str">
        <x:v>PITON v2.0 governs current scope. Do not resume the old testing or screenshot-limited sequence.</x:v>
      </x:c>
    </x:row>
    <x:row r="7" ht="70" customHeight="1">
      <x:c r="A7" s="105" t="str">
        <x:v>L1</x:v>
      </x:c>
      <x:c r="B7" s="89" t="str">
        <x:v>Current working packet</x:v>
      </x:c>
      <x:c r="C7" s="89" t="str">
        <x:v>MERLIN_System_Details_Working_Views_10OCT2026.pdf</x:v>
      </x:c>
      <x:c r="D7" s="89" t="str">
        <x:v>10 October 2026</x:v>
      </x:c>
      <x:c r="E7" s="89" t="str">
        <x:v>Read—targeted excerpts</x:v>
      </x:c>
      <x:c r="F7" s="89" t="str">
        <x:v>Selected indexed passages; pp. 47–48 text and images</x:v>
      </x:c>
      <x:c r="G7" s="89" t="str">
        <x:v>Latest relationship corrections and unresolved source meanings</x:v>
      </x:c>
      <x:c r="H7" s="89" t="str">
        <x:v>libfile_f1c0c12accb881918334f9127e8ca7bb</x:v>
      </x:c>
      <x:c r="I7" s="89" t="str">
        <x:v>Remaining cited pages not re-audited</x:v>
      </x:c>
    </x:row>
    <x:row r="8" ht="70" customHeight="1">
      <x:c r="A8" s="104" t="str">
        <x:v>L2</x:v>
      </x:c>
      <x:c r="B8" s="102" t="str">
        <x:v>Master research paper</x:v>
      </x:c>
      <x:c r="C8" s="102" t="str">
        <x:v>MERLIN_Resource_Details_Research_Paper_v0.15_09OCT2026.docx</x:v>
      </x:c>
      <x:c r="D8" s="102" t="str">
        <x:v>v0.15; 9 October 2026</x:v>
      </x:c>
      <x:c r="E8" s="102" t="str">
        <x:v>Read—targeted excerpts</x:v>
      </x:c>
      <x:c r="F8" s="102" t="str">
        <x:v>Abstract and selected appendix search passages</x:v>
      </x:c>
      <x:c r="G8" s="102" t="str">
        <x:v>Historical design and research context</x:v>
      </x:c>
      <x:c r="H8" s="102" t="str">
        <x:v>libfile_507c919c4f54819196512234e91822f7</x:v>
      </x:c>
      <x:c r="I8" s="102" t="str">
        <x:v>Not a new full review of 187 pages</x:v>
      </x:c>
    </x:row>
    <x:row r="9" ht="70" customHeight="1">
      <x:c r="A9" s="105" t="str">
        <x:v>L3</x:v>
      </x:c>
      <x:c r="B9" s="89" t="str">
        <x:v>Requirements draft</x:v>
      </x:c>
      <x:c r="C9" s="89" t="str">
        <x:v>MERLIN_Resource_Details_Requirements_v0.8_08OCT2026.docx</x:v>
      </x:c>
      <x:c r="D9" s="89" t="str">
        <x:v>v0.8; amended 9 October 2026</x:v>
      </x:c>
      <x:c r="E9" s="89" t="str">
        <x:v>Read—opening scope</x:v>
      </x:c>
      <x:c r="F9" s="89" t="str">
        <x:v>Opening purpose/scope, first two pages</x:v>
      </x:c>
      <x:c r="G9" s="89" t="str">
        <x:v>Product intent; proposed requirements</x:v>
      </x:c>
      <x:c r="H9" s="89" t="str">
        <x:v>libfile_087d8152d6488191a7c64caa30063dcd</x:v>
      </x:c>
      <x:c r="I9" s="89" t="str">
        <x:v>Prior review counts remain claims of this document, not work repeated now</x:v>
      </x:c>
    </x:row>
    <x:row r="10" ht="70" customHeight="1">
      <x:c r="A10" s="104" t="str">
        <x:v>L4</x:v>
      </x:c>
      <x:c r="B10" s="102" t="str">
        <x:v>Semantics guide</x:v>
      </x:c>
      <x:c r="C10" s="102" t="str">
        <x:v>MERLIN_Semantic_Presentation_and_Interaction_Guide_v0.5.docx</x:v>
      </x:c>
      <x:c r="D10" s="102" t="str">
        <x:v>v0.5; 8 October 2026</x:v>
      </x:c>
      <x:c r="E10" s="102" t="str">
        <x:v>Read—opening framework</x:v>
      </x:c>
      <x:c r="F10" s="102" t="str">
        <x:v>Pages 1–5, authority and semantic-layer boundaries</x:v>
      </x:c>
      <x:c r="G10" s="102" t="str">
        <x:v>Preserve source / presentation / rendering separation</x:v>
      </x:c>
      <x:c r="H10" s="102" t="str">
        <x:v>libfile_b307f6baf49c81919cfedf87dfb1cf5b</x:v>
      </x:c>
      <x:c r="I10" s="102" t="str">
        <x:v>Remaining sections not re-audited</x:v>
      </x:c>
    </x:row>
    <x:row r="11" ht="70" customHeight="1">
      <x:c r="A11" s="105" t="str">
        <x:v>L5</x:v>
      </x:c>
      <x:c r="B11" s="89" t="str">
        <x:v>Prior System PITON</x:v>
      </x:c>
      <x:c r="C11" s="89" t="str">
        <x:v>PITON_MERLIN_Resource_Details_System_Review_08OCT2026.docx</x:v>
      </x:c>
      <x:c r="D11" s="89" t="str">
        <x:v>8 October 2026 (handoff)</x:v>
      </x:c>
      <x:c r="E11" s="89" t="str">
        <x:v>Not reopened</x:v>
      </x:c>
      <x:c r="F11" s="89" t="str">
        <x:v>Locator retained from handoff</x:v>
      </x:c>
      <x:c r="G11" s="89" t="str">
        <x:v>Historical continuity; old resume instruction superseded</x:v>
      </x:c>
      <x:c r="H11" s="89" t="str">
        <x:v>libfile_88c8011ae9ec819183f87e81844657fa</x:v>
      </x:c>
      <x:c r="I11" s="89" t="str">
        <x:v>Do not reactivate prior workflow</x:v>
      </x:c>
    </x:row>
    <x:row r="12" ht="70" customHeight="1">
      <x:c r="A12" s="104" t="str">
        <x:v>L6</x:v>
      </x:c>
      <x:c r="B12" s="102" t="str">
        <x:v>Discovery background</x:v>
      </x:c>
      <x:c r="C12" s="102" t="str">
        <x:v>[#MERLIN-932] Resource Discovery View Module FINAL(1).pdf</x:v>
      </x:c>
      <x:c r="D12" s="102" t="str">
        <x:v>Accepted background (handoff)</x:v>
      </x:c>
      <x:c r="E12" s="102" t="str">
        <x:v>Not reopened</x:v>
      </x:c>
      <x:c r="F12" s="102" t="str">
        <x:v>Locator retained from handoff</x:v>
      </x:c>
      <x:c r="G12" s="102" t="str">
        <x:v>Identity and navigation continuity</x:v>
      </x:c>
      <x:c r="H12" s="102" t="str">
        <x:v>libfile_bd1381bf31c48191bb18d28c77b51c42</x:v>
      </x:c>
      <x:c r="I12" s="102" t="str">
        <x:v>No changes authorized</x:v>
      </x:c>
    </x:row>
    <x:row r="13" ht="70" customHeight="1">
      <x:c r="A13" s="105" t="str">
        <x:v>L7</x:v>
      </x:c>
      <x:c r="B13" s="89" t="str">
        <x:v>Supplied DISR export</x:v>
      </x:c>
      <x:c r="C13" s="89" t="str">
        <x:v>StandardsReport_20261010T134742.352 GMT.xlsx(1).csv</x:v>
      </x:c>
      <x:c r="D13" s="89" t="str">
        <x:v>10 October 2026 filename timestamp</x:v>
      </x:c>
      <x:c r="E13" s="89" t="str">
        <x:v>Read—selected exact rows</x:v>
      </x:c>
      <x:c r="F13" s="89" t="str">
        <x:v>Header; identifier/title regex matches; see DISR Evidence</x:v>
      </x:c>
      <x:c r="G13" s="89" t="str">
        <x:v>DoD and IC statuses kept separate</x:v>
      </x:c>
      <x:c r="H13" s="89" t="str">
        <x:v>libfile_41ef1e7ddf5c81918c3b67fe0ceec449</x:v>
      </x:c>
      <x:c r="I13" s="89" t="str">
        <x:v>Raw-copy attempt failed; no independent full-row recount</x:v>
      </x:c>
    </x:row>
    <x:row r="14" ht="70" customHeight="1">
      <x:c r="A14" s="104" t="str">
        <x:v>L8</x:v>
      </x:c>
      <x:c r="B14" s="102" t="str">
        <x:v>TRSS vendor screenshots</x:v>
      </x:c>
      <x:c r="C14" s="102" t="str">
        <x:v>TRSS Details View Research.pptx</x:v>
      </x:c>
      <x:c r="D14" s="102" t="str">
        <x:v>Edition not reverified</x:v>
      </x:c>
      <x:c r="E14" s="102" t="str">
        <x:v>Original selected pages visually inspected</x:v>
      </x:c>
      <x:c r="F14" s="102" t="str">
        <x:v>Slides 10–12; reader pp.175–177</x:v>
      </x:c>
      <x:c r="G14" s="102" t="str">
        <x:v>S40; detector choices, applicability and no manufactured inventory</x:v>
      </x:c>
      <x:c r="H14" s="102" t="str">
        <x:v>libfile_cbd2e80dc0e081918022604ef8d45f2e</x:v>
      </x:c>
      <x:c r="I14" s="102" t="str">
        <x:v>Selected manual evidence only; no live vendor payload.</x:v>
      </x:c>
    </x:row>
    <x:row r="15" ht="70" customHeight="1">
      <x:c r="A15" s="105" t="str">
        <x:v>L9</x:v>
      </x:c>
      <x:c r="B15" s="89" t="str">
        <x:v>Integrator TRSS screenshots</x:v>
      </x:c>
      <x:c r="C15" s="89" t="str">
        <x:v>System Integrator Screenshots for System Resource TRSS 2.pptx</x:v>
      </x:c>
      <x:c r="D15" s="89" t="str">
        <x:v>Edition not reverified</x:v>
      </x:c>
      <x:c r="E15" s="89" t="str">
        <x:v>Not reopened</x:v>
      </x:c>
      <x:c r="F15" s="89" t="str">
        <x:v>Locator retained from handoff</x:v>
      </x:c>
      <x:c r="G15" s="89" t="str">
        <x:v>Modeled example, not actual payload</x:v>
      </x:c>
      <x:c r="H15" s="89" t="str">
        <x:v>libfile_07855f5425ec8191aad95efa0f6036b6</x:v>
      </x:c>
      <x:c r="I15" s="89" t="str">
        <x:v>No visual re-audit in this increment</x:v>
      </x:c>
    </x:row>
    <x:row r="16" ht="70" customHeight="1">
      <x:c r="A16" s="104" t="str">
        <x:v>L10</x:v>
      </x:c>
      <x:c r="B16" s="102" t="str">
        <x:v>Integrator OmniSense screenshots</x:v>
      </x:c>
      <x:c r="C16" s="102" t="str">
        <x:v>System Integrator Screenshots for System Resource Omni.pptx</x:v>
      </x:c>
      <x:c r="D16" s="102" t="str">
        <x:v>Edition not reverified</x:v>
      </x:c>
      <x:c r="E16" s="102" t="str">
        <x:v>Not reopened</x:v>
      </x:c>
      <x:c r="F16" s="102" t="str">
        <x:v>Locator retained from handoff</x:v>
      </x:c>
      <x:c r="G16" s="102" t="str">
        <x:v>Modeled example with uncertain authorship</x:v>
      </x:c>
      <x:c r="H16" s="102" t="str">
        <x:v>libfile_b749195dea5481918455815c5c685a3f</x:v>
      </x:c>
      <x:c r="I16" s="102" t="str">
        <x:v>No raw export verified</x:v>
      </x:c>
    </x:row>
    <x:row r="17" ht="70" customHeight="1">
      <x:c r="A17" s="105" t="str">
        <x:v>L11a</x:v>
      </x:c>
      <x:c r="B17" s="89" t="str">
        <x:v>SADU vendor evidence</x:v>
      </x:c>
      <x:c r="C17" s="89" t="str">
        <x:v>SADU Details View Research.pptx</x:v>
      </x:c>
      <x:c r="D17" s="89" t="str">
        <x:v>Edition not reverified</x:v>
      </x:c>
      <x:c r="E17" s="89" t="str">
        <x:v>Original selected pages visually inspected</x:v>
      </x:c>
      <x:c r="F17" s="89" t="str">
        <x:v>Slides 1–7; printed pp.6-1–6-7</x:v>
      </x:c>
      <x:c r="G17" s="89" t="str">
        <x:v>S41; reporting, algorithm configuration and delayed application</x:v>
      </x:c>
      <x:c r="H17" s="89" t="str">
        <x:v>libfile_7b30d4a27a44819194bef90e7c7aece4</x:v>
      </x:c>
      <x:c r="I17" s="89" t="str">
        <x:v>CORE 2 illustration kept separate from CORE 5 ADS.</x:v>
      </x:c>
    </x:row>
    <x:row r="18" ht="70" customHeight="1">
      <x:c r="A18" s="104" t="str">
        <x:v>L11b</x:v>
      </x:c>
      <x:c r="B18" s="102" t="str">
        <x:v>MASBUS evidence</x:v>
      </x:c>
      <x:c r="C18" s="102" t="str">
        <x:v>MASBUS Details View.pptx</x:v>
      </x:c>
      <x:c r="D18" s="102" t="str">
        <x:v>Edition not reverified</x:v>
      </x:c>
      <x:c r="E18" s="102" t="str">
        <x:v>Not reopened</x:v>
      </x:c>
      <x:c r="F18" s="102" t="str">
        <x:v>Locator retained from handoff</x:v>
      </x:c>
      <x:c r="G18" s="102" t="str">
        <x:v>Legacy UI/source behavior</x:v>
      </x:c>
      <x:c r="H18" s="102" t="str">
        <x:v>libfile_5003aba20fe881919adf963223eeec55</x:v>
      </x:c>
      <x:c r="I18" s="102" t="str">
        <x:v>No inference of current API support</x:v>
      </x:c>
    </x:row>
    <x:row r="19" ht="70" customHeight="1">
      <x:c r="A19" s="105" t="str">
        <x:v>L11c</x:v>
      </x:c>
      <x:c r="B19" s="89" t="str">
        <x:v>OmniSense operations manual</x:v>
      </x:c>
      <x:c r="C19" s="89" t="str">
        <x:v>Place the OmniSense System into Operation 11 MAY 10.pdf</x:v>
      </x:c>
      <x:c r="D19" s="89" t="str">
        <x:v>11 May 2010 (filename)</x:v>
      </x:c>
      <x:c r="E19" s="89" t="str">
        <x:v>Not reopened</x:v>
      </x:c>
      <x:c r="F19" s="89" t="str">
        <x:v>Locator retained from handoff</x:v>
      </x:c>
      <x:c r="G19" s="89" t="str">
        <x:v>Operational behavior evidence</x:v>
      </x:c>
      <x:c r="H19" s="89" t="str">
        <x:v>libfile_47795f3969cc81918c0073f25581fad9</x:v>
      </x:c>
      <x:c r="I19" s="89" t="str">
        <x:v>No full manual inspection in this increment</x:v>
      </x:c>
    </x:row>
    <x:row r="20" ht="70" customHeight="1">
      <x:c r="A20" s="104" t="str">
        <x:v>L12</x:v>
      </x:c>
      <x:c r="B20" s="102" t="str">
        <x:v>Power Source PITON</x:v>
      </x:c>
      <x:c r="C20" s="102" t="str">
        <x:v>PITON_MERLIN_Power_Source_Presentation_10OCT2026(1).docx</x:v>
      </x:c>
      <x:c r="D20" s="102" t="str">
        <x:v>10 October 2026</x:v>
      </x:c>
      <x:c r="E20" s="102" t="str">
        <x:v>Located—text unavailable</x:v>
      </x:c>
      <x:c r="F20" s="102" t="str">
        <x:v>Direct read resolved identity; no readable text returned</x:v>
      </x:c>
      <x:c r="G20" s="102" t="str">
        <x:v>Sibling scope, not merged</x:v>
      </x:c>
      <x:c r="H20" s="102" t="str">
        <x:v>libfile_2effe490421c8191be311d6da2c45b4a</x:v>
      </x:c>
      <x:c r="I20" s="102" t="str">
        <x:v>Content recovery remains pending; not an absence finding</x:v>
      </x:c>
    </x:row>
    <x:row r="21" ht="70" customHeight="1">
      <x:c r="A21" s="105" t="str">
        <x:v>L13</x:v>
      </x:c>
      <x:c r="B21" s="89" t="str">
        <x:v>Power binding sheet</x:v>
      </x:c>
      <x:c r="C21" s="89" t="str">
        <x:v>MERLIN_Power_Source_Standards_and_Binding_Decision_Sheet_v0.1_10OCT2026.docx</x:v>
      </x:c>
      <x:c r="D21" s="89" t="str">
        <x:v>v0.1; 10 October 2026</x:v>
      </x:c>
      <x:c r="E21" s="89" t="str">
        <x:v>Read—selected sections</x:v>
      </x:c>
      <x:c r="F21" s="89" t="str">
        <x:v>Pages 1–4; proposed bindings and limits</x:v>
      </x:c>
      <x:c r="G21" s="89" t="str">
        <x:v>Sibling hypotheses; no production equivalence</x:v>
      </x:c>
      <x:c r="H21" s="89" t="str">
        <x:v>libfile_aa0b64e219048191a2a8835819ebdb94</x:v>
      </x:c>
      <x:c r="I21" s="89" t="str">
        <x:v>No edits; selections not adopted through this research</x:v>
      </x:c>
    </x:row>
    <x:row r="22" ht="70" customHeight="1">
      <x:c r="A22" s="104" t="str">
        <x:v>L14a</x:v>
      </x:c>
      <x:c r="B22" s="102" t="str">
        <x:v>Profiling review outline</x:v>
      </x:c>
      <x:c r="C22" s="102" t="str">
        <x:v>Profiling_Research_Literature_Review_Outline_v0.1.docx</x:v>
      </x:c>
      <x:c r="D22" s="102" t="str">
        <x:v>v0.1</x:v>
      </x:c>
      <x:c r="E22" s="102" t="str">
        <x:v>Located—text unavailable</x:v>
      </x:c>
      <x:c r="F22" s="102" t="str">
        <x:v>Direct read resolved identity; no readable text returned</x:v>
      </x:c>
      <x:c r="G22" s="102" t="str">
        <x:v>Independent review continuity</x:v>
      </x:c>
      <x:c r="H22" s="102" t="str">
        <x:v>libfile_1a4ebaaaeac48191b6e75801d5e53da8</x:v>
      </x:c>
      <x:c r="I22" s="102" t="str">
        <x:v>Content recovery pending</x:v>
      </x:c>
    </x:row>
    <x:row r="23" ht="70" customHeight="1">
      <x:c r="A23" s="105" t="str">
        <x:v>L14b</x:v>
      </x:c>
      <x:c r="B23" s="89" t="str">
        <x:v>Profiling bibliography</x:v>
      </x:c>
      <x:c r="C23" s="89" t="str">
        <x:v>Profiling_Research_Annotated_Bibliography_v0.1.docx</x:v>
      </x:c>
      <x:c r="D23" s="89" t="str">
        <x:v>v0.1; 3 October 2026</x:v>
      </x:c>
      <x:c r="E23" s="89" t="str">
        <x:v>Read—selected sections</x:v>
      </x:c>
      <x:c r="F23" s="89" t="str">
        <x:v>Pages 1–6 and SIF-SP deferral passages</x:v>
      </x:c>
      <x:c r="G23" s="89" t="str">
        <x:v>Methodology and profiling leads; CMOS-18 confirmed</x:v>
      </x:c>
      <x:c r="H23" s="89" t="str">
        <x:v>libfile_49a8dfb1f34481919d8cd7e36cc26352</x:v>
      </x:c>
      <x:c r="I23" s="89" t="str">
        <x:v>SIF-SP remains deferred; no merger or overwrite</x:v>
      </x:c>
    </x:row>
    <x:row r="24" ht="70" customHeight="1">
      <x:c r="A24" s="104" t="str">
        <x:v>L14c</x:v>
      </x:c>
      <x:c r="B24" s="102" t="str">
        <x:v>Profiling source register</x:v>
      </x:c>
      <x:c r="C24" s="102" t="str">
        <x:v>Profiling_Research_Master_Source_Register_v0.2.xlsx</x:v>
      </x:c>
      <x:c r="D24" s="102" t="str">
        <x:v>v0.2</x:v>
      </x:c>
      <x:c r="E24" s="102" t="str">
        <x:v>Located—text unavailable</x:v>
      </x:c>
      <x:c r="F24" s="102" t="str">
        <x:v>Direct read resolved identity; no readable text returned</x:v>
      </x:c>
      <x:c r="G24" s="102" t="str">
        <x:v>Independent register continuity</x:v>
      </x:c>
      <x:c r="H24" s="102" t="str">
        <x:v>libfile_3b97bd58619c8191aa5fc40facc78551</x:v>
      </x:c>
      <x:c r="I24" s="102" t="str">
        <x:v>Not programmatically analyzed or modified</x:v>
      </x:c>
    </x:row>
    <x:row r="25" ht="115" customHeight="1">
      <x:c r="A25" s="240" t="str">
        <x:v>P20</x:v>
      </x:c>
      <x:c r="B25" s="239" t="str">
        <x:v>Current recovery PITON</x:v>
      </x:c>
      <x:c r="C25" s="239" t="str">
        <x:v>PITON_MERLIN_Domain_Models_Engineering_Lineage_and_Profile_Scope_v2.0_12OCT2026.docx</x:v>
      </x:c>
      <x:c r="D25" s="239" t="str">
        <x:v>v2.0 / 12 October 2026</x:v>
      </x:c>
      <x:c r="E25" s="239" t="str">
        <x:v>Read; current authorization</x:v>
      </x:c>
      <x:c r="F25" s="239" t="str">
        <x:v>§§1–7, 10–12 and recovery references</x:v>
      </x:c>
      <x:c r="G25" s="239" t="str">
        <x:v>Whole-system scope, engineering family, Power Source coordination</x:v>
      </x:c>
      <x:c r="H25" s="239" t="str">
        <x:v>file_00000000638481f4aac9863d18f23940</x:v>
      </x:c>
      <x:c r="I25" s="239" t="str">
        <x:v>Preserves sources; supersedes the broad v0.6 recommendation.</x:v>
      </x:c>
    </x:row>
    <x:row r="26">
      <x:c r="A26" t="str">
        <x:v>P21</x:v>
      </x:c>
      <x:c r="B26" t="str">
        <x:v>Current main profile</x:v>
      </x:c>
      <x:c r="C26" t="str">
        <x:v>MERLIN_Managed_Physical_Sensing_Systems_Profile_Scope_and_Content_Outline_v0.3.1_14OCT2026.docx</x:v>
      </x:c>
      <x:c r="D26" t="str">
        <x:v>v0.3.1; 14 Oct 2026</x:v>
      </x:c>
      <x:c r="E26" t="str">
        <x:v>Read; frozen integration baseline</x:v>
      </x:c>
      <x:c r="F26" t="str">
        <x:v>8 subjects, R01–R20, provisional source/relationship groups</x:v>
      </x:c>
      <x:c r="G26" t="str">
        <x:v>Binding candidate baseline, not already updated</x:v>
      </x:c>
      <x:c r="H26" t="str">
        <x:v>/mnt/data/MERLIN_Managed_Physical_Sensing_Systems_Profile_Scope_and_Content_Outline_v0.3.1_14OCT2026.docx</x:v>
      </x:c>
      <x:c r="I26" t="str">
        <x:v>No v0.4 owner approval</x:v>
      </x:c>
    </x:row>
    <x:row r="27">
      <x:c r="A27" t="str">
        <x:v>P22</x:v>
      </x:c>
      <x:c r="B27" t="str">
        <x:v>Companion standards rationale</x:v>
      </x:c>
      <x:c r="C27" t="str">
        <x:v>MERLIN_Profile_Standards_Pedigree_and_Design_Rationale_Primer_v0.1_14OCT2026.docx</x:v>
      </x:c>
      <x:c r="D27" t="str">
        <x:v>v0.1; 14 Oct 2026</x:v>
      </x:c>
      <x:c r="E27" t="str">
        <x:v>Read in design studies</x:v>
      </x:c>
      <x:c r="F27" t="str">
        <x:v>OGC carriers, references, source categories</x:v>
      </x:c>
      <x:c r="G27" t="str">
        <x:v>Explains original binding choices and provenance</x:v>
      </x:c>
      <x:c r="H27" t="str">
        <x:v>/mnt/data/MERLIN_Profile_Standards_Pedigree_and_Design_Rationale_Primer_v0.1_14OCT2026.docx</x:v>
      </x:c>
      <x:c r="I27" t="str">
        <x:v>Do not replace technical standards</x:v>
      </x:c>
    </x:row>
    <x:row r="28">
      <x:c r="A28" t="str">
        <x:v>P23</x:v>
      </x:c>
      <x:c r="B28" t="str">
        <x:v>Power-domain decision support</x:v>
      </x:c>
      <x:c r="C28" t="str">
        <x:v>MERLIN_Power_Source_Domain_Model_and_Main_Profile_Binding_Recommendation_v0.1_14OCT2026 (1).docx</x:v>
      </x:c>
      <x:c r="D28" t="str">
        <x:v>v0.1; 14 Oct 2026</x:v>
      </x:c>
      <x:c r="E28" t="str">
        <x:v>Full 27-page document available</x:v>
      </x:c>
      <x:c r="F28" t="str">
        <x:v>RFC 7326/7577, groups, runtime, SystemEvent</x:v>
      </x:c>
      <x:c r="G28" t="str">
        <x:v>Proposed R16–R17 replacement</x:v>
      </x:c>
      <x:c r="H28" t="str">
        <x:v>/mnt/data/MERLIN_Power_Source_Domain_Model_and_Main_Profile_Binding_Recommendation_v0.1_14OCT2026 (1).docx</x:v>
      </x:c>
      <x:c r="I28" t="str">
        <x:v>Source-backed recommendation not approved binding</x:v>
      </x:c>
    </x:row>
    <x:row r="29">
      <x:c r="A29" t="str">
        <x:v>P24</x:v>
      </x:c>
      <x:c r="B29" t="str">
        <x:v>ISA Phase 2 conclusions</x:v>
      </x:c>
      <x:c r="C29" t="str">
        <x:v>ISA_Phase2_Report.docx; ISA_Phase2_Crosswalk.xlsx; ISA_Phase2_MainChat_Memo.docx</x:v>
      </x:c>
      <x:c r="D29" t="str">
        <x:v>Phase 2; 14 Oct 2026</x:v>
      </x:c>
      <x:c r="E29" t="str">
        <x:v>Read assessment + crosswalk</x:v>
      </x:c>
      <x:c r="F29" t="str">
        <x:v>Seven semantic reuse topics; 11 supplied Distribution A PDF originals</x:v>
      </x:c>
      <x:c r="G29" t="str">
        <x:v>No native ISA selection; four owner-review topics</x:v>
      </x:c>
      <x:c r="H29" t="str">
        <x:v>/mnt/data/ISA_Phase2_review/ISA_Phase2_Report.docx</x:v>
      </x:c>
      <x:c r="I29" t="str">
        <x:v>Phase 1 overstatements corrected</x:v>
      </x:c>
    </x:row>
    <x:row r="30">
      <x:c r="A30" t="str">
        <x:v>P25</x:v>
      </x:c>
      <x:c r="B30" t="str">
        <x:v>IEEE 1451 Pass 1A</x:v>
      </x:c>
      <x:c r="C30" t="str">
        <x:v>MERLIN_IEEE1451_TEDS_Public_Source_Technical_Reconstruction_v0.1_14OCT2026.docx</x:v>
      </x:c>
      <x:c r="D30" t="str">
        <x:v>Pass 1A; 14 Oct 2026</x:v>
      </x:c>
      <x:c r="E30" t="str">
        <x:v>Full 20-page document available</x:v>
      </x:c>
      <x:c r="F30" t="str">
        <x:v>Playground, NIST, ISO/IEEE catalogue; channel TEDS</x:v>
      </x:c>
      <x:c r="G30" t="str">
        <x:v>Provisional R04/R09–R12 semantic donor</x:v>
      </x:c>
      <x:c r="H30" t="str">
        <x:v>/mnt/data/MERLIN_IEEE1451_TEDS_Public_Source_Technical_Reconstruction_v0.1_14OCT2026.docx</x:v>
      </x:c>
      <x:c r="I30" t="str">
        <x:v>Complete normative sources inaccessible; verify later</x:v>
      </x:c>
    </x:row>
    <x:row r="31">
      <x:c r="A31" t="str">
        <x:v>P26</x:v>
      </x:c>
      <x:c r="B31" t="str">
        <x:v>Foundational semantics outputs</x:v>
      </x:c>
      <x:c r="C31" t="str">
        <x:v>MERLIN_Foundational_Semantics_Review_COMPLETE_v1.0_14OCT2026(1).zip</x:v>
      </x:c>
      <x:c r="D31" t="str">
        <x:v>v1.0; 14 Oct 2026</x:v>
      </x:c>
      <x:c r="E31" t="str">
        <x:v>Full A/B/C/D packet available</x:v>
      </x:c>
      <x:c r="F31" t="str">
        <x:v>W3C SSN WD, OMS, I-ADOPT, QUDT/UCUM/SWEET</x:v>
      </x:c>
      <x:c r="G31" t="str">
        <x:v>22 local source IDs reconciled</x:v>
      </x:c>
      <x:c r="H31" t="str">
        <x:v>/mnt/data/MERLIN_Foundational_Semantics_Review_COMPLETE_v1.0_14OCT2026(1).zip</x:v>
      </x:c>
      <x:c r="I31" t="str">
        <x:v>OMS exact conformance text gated; local IDs not global</x:v>
      </x:c>
    </x:row>
    <x:row r="32">
      <x:c r="A32" t="str">
        <x:v>P27</x:v>
      </x:c>
      <x:c r="B32" t="str">
        <x:v>Current research bibliography</x:v>
      </x:c>
      <x:c r="C32" t="str">
        <x:v>MERLIN_Domain_Information_Models_Annotated_Bibliography_v0.8_14OCT2026.docx</x:v>
      </x:c>
      <x:c r="D32" t="str">
        <x:v>v0.8; 14 Oct 2026</x:v>
      </x:c>
      <x:c r="E32" t="str">
        <x:v>Consolidated 109 annotations</x:v>
      </x:c>
      <x:c r="F32" t="str">
        <x:v>S01–S109, source-specific limits and decisions</x:v>
      </x:c>
      <x:c r="G32" t="str">
        <x:v>Master narrative bibliography; no retroactive approval</x:v>
      </x:c>
      <x:c r="H32" t="str">
        <x:v>/mnt/data/MERLIN_Domain_Information_Models_Annotated_Bibliography_v0.8_14OCT2026.docx</x:v>
      </x:c>
      <x:c r="I32" t="str">
        <x:v>Later source discovery still possible</x:v>
      </x:c>
    </x:row>
    <x:row r="33">
      <x:c r="A33" t="str">
        <x:v>P28</x:v>
      </x:c>
      <x:c r="B33" t="str">
        <x:v>Current continuity handoff</x:v>
      </x:c>
      <x:c r="C33" t="str">
        <x:v>PITON_MERLIN_Main_Profile_Continuity_and_Integration_v3.0_14OCT2026.docx</x:v>
      </x:c>
      <x:c r="D33" t="str">
        <x:v>v3.0; 14 Oct 2026</x:v>
      </x:c>
      <x:c r="E33" t="str">
        <x:v>Read baseline of intent and holds</x:v>
      </x:c>
      <x:c r="F33" t="str">
        <x:v>Scope, workstreams, open profile choices</x:v>
      </x:c>
      <x:c r="G33" t="str">
        <x:v>Project continuity, not external source</x:v>
      </x:c>
      <x:c r="H33" t="str">
        <x:v>/mnt/data/PITON_MERLIN_Main_Profile_Continuity_and_Integration_v3.0_14OCT2026.docx</x:v>
      </x:c>
      <x:c r="I33" t="str">
        <x:v>Read update alongside completed foundational outputs</x:v>
      </x:c>
    </x:row>
  </x:sheetData>
  <x:mergeCells>
    <x:mergeCell ref="A1:I1"/>
    <x:mergeCell ref="A2:I3"/>
  </x:mergeCells>
  <x:pageMargins left="0.7" right="0.7" top="0.75" bottom="0.75" header="0.3" footer="0.3"/>
  <x:tableParts count="1">
    <x:tablePart xmlns:r="http://schemas.openxmlformats.org/officeDocument/2006/relationships" r:id="Rf86f0c31a6d546a1"/>
  </x:tableParts>
</x:worksheet>
</file>

<file path=xl/worksheets/sheet5.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9" hidden="0" customWidth="1"/>
    <x:col min="2" max="2" width="13" hidden="0" customWidth="1"/>
    <x:col min="3" max="3" width="17" hidden="0" customWidth="1"/>
    <x:col min="4" max="4" width="28" hidden="0" customWidth="1"/>
    <x:col min="5" max="5" width="28" hidden="0" customWidth="1"/>
    <x:col min="6" max="6" width="40" hidden="0" customWidth="1"/>
    <x:col min="7" max="7" width="34" hidden="0" customWidth="1"/>
    <x:col min="8" max="8" width="38" hidden="0" customWidth="1"/>
    <x:col min="9" max="9" width="23" hidden="0" customWidth="1"/>
    <x:col min="10" max="10" width="37" hidden="0" customWidth="1"/>
  </x:cols>
  <x:sheetData>
    <x:row r="1" ht="34" customHeight="1">
      <x:c r="A1" s="95" t="str">
        <x:v>BOUNDED RESEARCH QUESTIONS</x:v>
      </x:c>
      <x:c r="B1" s="95"/>
      <x:c r="C1" s="95"/>
      <x:c r="D1" s="95"/>
      <x:c r="E1" s="95"/>
      <x:c r="F1" s="95"/>
      <x:c r="G1" s="95"/>
      <x:c r="H1" s="95"/>
      <x:c r="I1" s="95"/>
      <x:c r="J1" s="95"/>
    </x:row>
    <x:row r="2" ht="18" customHeight="1">
      <x:c r="A2" s="98" t="str">
        <x:v>Three research questions remain Open; the documentary case and contrasting-family selection are answered. Deferred items are not implementation gates.</x:v>
      </x:c>
      <x:c r="B2" s="98"/>
      <x:c r="C2" s="98"/>
      <x:c r="D2" s="98"/>
      <x:c r="E2" s="98"/>
      <x:c r="F2" s="98"/>
      <x:c r="G2" s="98"/>
      <x:c r="H2" s="98"/>
      <x:c r="I2" s="98"/>
      <x:c r="J2" s="98"/>
    </x:row>
    <x:row r="3" ht="18" customHeight="1">
      <x:c r="A3" s="305" t="str">
        <x:v>HISTORICAL RECORD PRESERVED. Current v0.9 status: see Workstream Ledger, Applied R01-R20, Evidence Gates, Donor Coverage and Integration Gaps.</x:v>
      </x:c>
      <x:c r="B3" s="98"/>
      <x:c r="C3" s="98"/>
      <x:c r="D3" s="98"/>
      <x:c r="E3" s="98"/>
      <x:c r="F3" s="98"/>
      <x:c r="G3" s="98"/>
      <x:c r="H3" s="98"/>
      <x:c r="I3" s="98"/>
      <x:c r="J3" s="98"/>
    </x:row>
    <x:row r="4" ht="9" customHeight="1">
      <x:c r="A4" s="89"/>
      <x:c r="B4" s="89"/>
      <x:c r="C4" s="89"/>
      <x:c r="D4" s="89"/>
      <x:c r="E4" s="89"/>
      <x:c r="F4" s="89"/>
      <x:c r="G4" s="89"/>
      <x:c r="H4" s="89"/>
      <x:c r="I4" s="89"/>
      <x:c r="J4" s="89"/>
    </x:row>
    <x:row r="5" ht="45" customHeight="1">
      <x:c r="A5" s="101" t="str">
        <x:v>ID</x:v>
      </x:c>
      <x:c r="B5" s="101" t="str">
        <x:v>Priority</x:v>
      </x:c>
      <x:c r="C5" s="101" t="str">
        <x:v>Status</x:v>
      </x:c>
      <x:c r="D5" s="101" t="str">
        <x:v>Topic</x:v>
      </x:c>
      <x:c r="E5" s="101" t="str">
        <x:v>Sources / leads</x:v>
      </x:c>
      <x:c r="F5" s="101" t="str">
        <x:v>Named question / action</x:v>
      </x:c>
      <x:c r="G5" s="101" t="str">
        <x:v>Decision impact</x:v>
      </x:c>
      <x:c r="H5" s="101" t="str">
        <x:v>Evidence needed to close</x:v>
      </x:c>
      <x:c r="I5" s="101" t="str">
        <x:v>Proposed reviewer / owner</x:v>
      </x:c>
      <x:c r="J5" s="101" t="str">
        <x:v>Sequence / trigger</x:v>
      </x:c>
    </x:row>
    <x:row r="6" ht="70" hidden="0" customHeight="1">
      <x:c r="A6" s="104" t="str">
        <x:v>Q01</x:v>
      </x:c>
      <x:c r="B6" s="102" t="str">
        <x:v>Low</x:v>
      </x:c>
      <x:c r="C6" s="102" t="str">
        <x:v>Withdrawn</x:v>
      </x:c>
      <x:c r="D6" s="102" t="str">
        <x:v>Identity-focused test sequence</x:v>
      </x:c>
      <x:c r="E6" s="102" t="str">
        <x:v>v0.3</x:v>
      </x:c>
      <x:c r="F6" s="102" t="str">
        <x:v>The complete dependency/fixture sequence is withdrawn from the active research agenda.</x:v>
      </x:c>
      <x:c r="G6" s="102" t="str">
        <x:v>None for the present landscape decision.</x:v>
      </x:c>
      <x:c r="H6" s="102" t="str">
        <x:v>Retained as v0.3 history, not an active gate.</x:v>
      </x:c>
      <x:c r="I6" s="102" t="str">
        <x:v>Research</x:v>
      </x:c>
      <x:c r="J6" s="102" t="str">
        <x:v>Superseded by owner scope correction.</x:v>
      </x:c>
    </x:row>
    <x:row r="7" ht="70" hidden="0" customHeight="1">
      <x:c r="A7" s="105" t="str">
        <x:v>Q02</x:v>
      </x:c>
      <x:c r="B7" s="89" t="str">
        <x:v>High</x:v>
      </x:c>
      <x:c r="C7" s="89" t="str">
        <x:v>Answered</x:v>
      </x:c>
      <x:c r="D7" s="89" t="str">
        <x:v>Model content comparison</x:v>
      </x:c>
      <x:c r="E7" s="89" t="str">
        <x:v>S07–S08; S35–S39</x:v>
      </x:c>
      <x:c r="F7" s="89" t="str">
        <x:v>Compare domain content and native-use meaning across hardware, assets and AAS templates.</x:v>
      </x:c>
      <x:c r="G7" s="89" t="str">
        <x:v>Shortlist now documented in Word §1 and OGC Comparison.</x:v>
      </x:c>
      <x:c r="H7" s="89" t="str">
        <x:v>Published templates and CCOM diagrams inspected.</x:v>
      </x:c>
      <x:c r="I7" s="89" t="str">
        <x:v>Research</x:v>
      </x:c>
      <x:c r="J7" s="89" t="str">
        <x:v>Completed in v0.4.</x:v>
      </x:c>
    </x:row>
    <x:row r="8" ht="70" hidden="0" customHeight="1">
      <x:c r="A8" s="104" t="str">
        <x:v>Q03</x:v>
      </x:c>
      <x:c r="B8" s="102" t="str">
        <x:v>High</x:v>
      </x:c>
      <x:c r="C8" s="102" t="str">
        <x:v>Answered</x:v>
      </x:c>
      <x:c r="D8" s="102" t="str">
        <x:v>Specific AAS templates</x:v>
      </x:c>
      <x:c r="E8" s="102" t="str">
        <x:v>S36–S39</x:v>
      </x:c>
      <x:c r="F8" s="102" t="str">
        <x:v>TechnicalData, hierarchy, IEC extension and Capability Description inspected.</x:v>
      </x:c>
      <x:c r="G8" s="102" t="str">
        <x:v>Generic frame not selected; hierarchy and capability models retained conditionally.</x:v>
      </x:c>
      <x:c r="H8" s="102" t="str">
        <x:v>Direct template text and model figures.</x:v>
      </x:c>
      <x:c r="I8" s="102" t="str">
        <x:v>Research</x:v>
      </x:c>
      <x:c r="J8" s="102" t="str">
        <x:v>Completed in v0.4.</x:v>
      </x:c>
    </x:row>
    <x:row r="9" ht="70" hidden="0" customHeight="1">
      <x:c r="A9" s="105" t="str">
        <x:v>Q04</x:v>
      </x:c>
      <x:c r="B9" s="89" t="str">
        <x:v>High</x:v>
      </x:c>
      <x:c r="C9" s="89" t="str">
        <x:v>Deferred</x:v>
      </x:c>
      <x:c r="D9" s="89" t="str">
        <x:v>Exact MIMOSA edition content</x:v>
      </x:c>
      <x:c r="E9" s="89" t="str">
        <x:v>S16–S17; S35</x:v>
      </x:c>
      <x:c r="F9" s="89" t="str">
        <x:v>Does the DISR-listed OSA-EAI 3.2.3a supply the asset/event content selected from the later model?</x:v>
      </x:c>
      <x:c r="G9" s="89" t="str">
        <x:v>Could change edition choice or a justified update recommendation.</x:v>
      </x:c>
      <x:c r="H9" s="89" t="str">
        <x:v>Exact archived package contents; release notes alone do not settle it.</x:v>
      </x:c>
      <x:c r="I9" s="89" t="str">
        <x:v>Research</x:v>
      </x:c>
      <x:c r="J9" s="89" t="str">
        <x:v>Relevant to content selection; not a prerequisite to family-scope recommendation.</x:v>
      </x:c>
    </x:row>
    <x:row r="10" ht="70" hidden="0" customHeight="1">
      <x:c r="A10" s="104" t="str">
        <x:v>Q05</x:v>
      </x:c>
      <x:c r="B10" s="102" t="str">
        <x:v>High</x:v>
      </x:c>
      <x:c r="C10" s="102" t="str">
        <x:v>Deferred</x:v>
      </x:c>
      <x:c r="D10" s="102" t="str">
        <x:v>Existing partner representations</x:v>
      </x:c>
      <x:c r="E10" s="102" t="str">
        <x:v>S05–S08; S36–S39</x:v>
      </x:c>
      <x:c r="F10" s="102" t="str">
        <x:v>Which intended integrations already provide a native RFC/OPC/AAS/MIMOSA artifact?</x:v>
      </x:c>
      <x:c r="G10" s="102" t="str">
        <x:v>Could make preserving an existing standard cheaper than authoring a new binding.</x:v>
      </x:c>
      <x:c r="H10" s="102" t="str">
        <x:v>Authoritative partner/source description, not inferred from UI similarity.</x:v>
      </x:c>
      <x:c r="I10" s="102" t="str">
        <x:v>Integration lead</x:v>
      </x:c>
      <x:c r="J10" s="102" t="str">
        <x:v>Relevant to content selection; not a prerequisite to family-scope recommendation.</x:v>
      </x:c>
    </x:row>
    <x:row r="11" ht="70" hidden="0" customHeight="1">
      <x:c r="A11" s="105" t="str">
        <x:v>Q06</x:v>
      </x:c>
      <x:c r="B11" s="89" t="str">
        <x:v>High</x:v>
      </x:c>
      <x:c r="C11" s="89" t="str">
        <x:v>Superseded</x:v>
      </x:c>
      <x:c r="D11" s="89" t="str">
        <x:v>Cross-family recurring information</x:v>
      </x:c>
      <x:c r="E11" s="89" t="str">
        <x:v>S40–S42; Word §2</x:v>
      </x:c>
      <x:c r="F11" s="89" t="str">
        <x:v>Earlier small-example answer did not settle family scope; see new Q24.</x:v>
      </x:c>
      <x:c r="G11" s="89" t="str">
        <x:v>Recommend a small OGC content agreement; no added hardware hierarchy for these cases.</x:v>
      </x:c>
      <x:c r="H11" s="89" t="str">
        <x:v>Selected original manuals + contrasting manufacturer datasheet; live interoperability not claimed.</x:v>
      </x:c>
      <x:c r="I11" s="89" t="str">
        <x:v>Research + domain SME</x:v>
      </x:c>
      <x:c r="J11" s="89" t="str">
        <x:v>Narrative comparison, not fixture execution.</x:v>
      </x:c>
    </x:row>
    <x:row r="12" ht="70" hidden="0" customHeight="1">
      <x:c r="A12" s="104" t="str">
        <x:v>Q07</x:v>
      </x:c>
      <x:c r="B12" s="102" t="str">
        <x:v>Medium</x:v>
      </x:c>
      <x:c r="C12" s="102" t="str">
        <x:v>Deferred</x:v>
      </x:c>
      <x:c r="D12" s="102" t="str">
        <x:v>Requirement-to-capability matching</x:v>
      </x:c>
      <x:c r="E12" s="102" t="str">
        <x:v>S39; S19</x:v>
      </x:c>
      <x:c r="F12" s="102" t="str">
        <x:v>Does the intended capability include matching collection requirements to available functions?</x:v>
      </x:c>
      <x:c r="G12" s="102" t="str">
        <x:v>Determines whether AAS capability relationships are relevant now or remain background.</x:v>
      </x:c>
      <x:c r="H12" s="102" t="str">
        <x:v>An actual planning requirement and its information needs.</x:v>
      </x:c>
      <x:c r="I12" s="102" t="str">
        <x:v>Product owner</x:v>
      </x:c>
      <x:c r="J12" s="102" t="str">
        <x:v>Relevant to content selection; not a prerequisite to family-scope recommendation.</x:v>
      </x:c>
    </x:row>
    <x:row r="13" ht="70" hidden="0" customHeight="1">
      <x:c r="A13" s="105" t="str">
        <x:v>Q08</x:v>
      </x:c>
      <x:c r="B13" s="89" t="str">
        <x:v>Medium</x:v>
      </x:c>
      <x:c r="C13" s="89" t="str">
        <x:v>Deferred</x:v>
      </x:c>
      <x:c r="D13" s="89" t="str">
        <x:v>Current operational models</x:v>
      </x:c>
      <x:c r="E13" s="89" t="str">
        <x:v>S19, S24, S27</x:v>
      </x:c>
      <x:c r="F13" s="89" t="str">
        <x:v>Inspect the applicable current MIM/NATO publication only after identifying an operational relationship to map.</x:v>
      </x:c>
      <x:c r="G13" s="89" t="str">
        <x:v>Edition-specific semantics and constraints</x:v>
      </x:c>
      <x:c r="H13" s="89" t="str">
        <x:v>Authoritative current edition; no status extrapolation</x:v>
      </x:c>
      <x:c r="I13" s="89" t="str">
        <x:v>Research</x:v>
      </x:c>
      <x:c r="J13" s="89" t="str">
        <x:v>Historical lead; not a prerequisite for continuing the content comparison.</x:v>
      </x:c>
    </x:row>
    <x:row r="14" ht="70" hidden="0" customHeight="1">
      <x:c r="A14" s="104" t="str">
        <x:v>Q09</x:v>
      </x:c>
      <x:c r="B14" s="102" t="str">
        <x:v>Medium</x:v>
      </x:c>
      <x:c r="C14" s="102" t="str">
        <x:v>Deferred</x:v>
      </x:c>
      <x:c r="D14" s="102" t="str">
        <x:v>NATO identifier/status verification</x:v>
      </x:c>
      <x:c r="E14" s="102" t="str">
        <x:v>S23–S25; PITON §11</x:v>
      </x:c>
      <x:c r="F14" s="102" t="str">
        <x:v>Verify current NCDF/ADatP-5668 identity and promulgation from an authoritative catalog when required.</x:v>
      </x:c>
      <x:c r="G14" s="102" t="str">
        <x:v>Avoid incorrect adoption or semantic assertions</x:v>
      </x:c>
      <x:c r="H14" s="102" t="str">
        <x:v>Exact publication/title/status; separate wrappers and technical model</x:v>
      </x:c>
      <x:c r="I14" s="102" t="str">
        <x:v>Research</x:v>
      </x:c>
      <x:c r="J14" s="102" t="str">
        <x:v>Historical lead; not a prerequisite for continuing the content comparison.</x:v>
      </x:c>
    </x:row>
    <x:row r="15" ht="70" hidden="0" customHeight="1">
      <x:c r="A15" s="105" t="str">
        <x:v>Q10</x:v>
      </x:c>
      <x:c r="B15" s="89" t="str">
        <x:v>High</x:v>
      </x:c>
      <x:c r="C15" s="89" t="str">
        <x:v>Deferred</x:v>
      </x:c>
      <x:c r="D15" s="89" t="str">
        <x:v>Commercial and cross-vendor evidence</x:v>
      </x:c>
      <x:c r="E15" s="89" t="str">
        <x:v>S05–S07, S20, S26</x:v>
      </x:c>
      <x:c r="F15" s="89" t="str">
        <x:v>Obtain reproducible implementations or credible engineering accounts for the actual shortlisted pattern.</x:v>
      </x:c>
      <x:c r="G15" s="89" t="str">
        <x:v>Whether claimed reuse appears outside authored examples</x:v>
      </x:c>
      <x:c r="H15" s="89" t="str">
        <x:v>Two implementations or independently inspectable integration evidence</x:v>
      </x:c>
      <x:c r="I15" s="89" t="str">
        <x:v>Research + developer review</x:v>
      </x:c>
      <x:c r="J15" s="89" t="str">
        <x:v>Historical lead; not a prerequisite for continuing the content comparison.</x:v>
      </x:c>
    </x:row>
    <x:row r="16" ht="70" hidden="0" customHeight="1">
      <x:c r="A16" s="104" t="str">
        <x:v>Q11</x:v>
      </x:c>
      <x:c r="B16" s="102" t="str">
        <x:v>High</x:v>
      </x:c>
      <x:c r="C16" s="102" t="str">
        <x:v>Deferred</x:v>
      </x:c>
      <x:c r="D16" s="102" t="str">
        <x:v>Openness and governance</x:v>
      </x:c>
      <x:c r="E16" s="102" t="str">
        <x:v>All shortlisted sources</x:v>
      </x:c>
      <x:c r="F16" s="102" t="str">
        <x:v>Check text access, schema/definition reuse, implementation/patent conditions, and participation/change governance.</x:v>
      </x:c>
      <x:c r="G16" s="102" t="str">
        <x:v>Can the proposed artifacts be implemented and maintained openly?</x:v>
      </x:c>
      <x:c r="H16" s="102" t="str">
        <x:v>Separate axes with exact license/version evidence</x:v>
      </x:c>
      <x:c r="I16" s="102" t="str">
        <x:v>Research + appropriate rights review</x:v>
      </x:c>
      <x:c r="J16" s="102" t="str">
        <x:v>Historical lead; not a prerequisite for continuing the content comparison.</x:v>
      </x:c>
    </x:row>
    <x:row r="17" ht="70" hidden="0" customHeight="1">
      <x:c r="A17" s="105" t="str">
        <x:v>Q12</x:v>
      </x:c>
      <x:c r="B17" s="89" t="str">
        <x:v>High</x:v>
      </x:c>
      <x:c r="C17" s="89" t="str">
        <x:v>Deferred</x:v>
      </x:c>
      <x:c r="D17" s="89" t="str">
        <x:v>Recover unread sibling artifacts</x:v>
      </x:c>
      <x:c r="E17" s="89" t="str">
        <x:v>L12, L14a, L14c</x:v>
      </x:c>
      <x:c r="F17" s="89" t="str">
        <x:v>Recover readable content only when it can answer a named source or scope question.</x:v>
      </x:c>
      <x:c r="G17" s="89" t="str">
        <x:v>Continuity without unsupported reuse claims</x:v>
      </x:c>
      <x:c r="H17" s="89" t="str">
        <x:v>Readable pages or authorized original; retain failed retrieval history</x:v>
      </x:c>
      <x:c r="I17" s="89" t="str">
        <x:v>Research</x:v>
      </x:c>
      <x:c r="J17" s="89" t="str">
        <x:v>Historical lead; not a prerequisite for continuing the content comparison.</x:v>
      </x:c>
    </x:row>
    <x:row r="18" ht="70" hidden="0" customHeight="1">
      <x:c r="A18" s="104" t="str">
        <x:v>Q13</x:v>
      </x:c>
      <x:c r="B18" s="102" t="str">
        <x:v>High</x:v>
      </x:c>
      <x:c r="C18" s="102" t="str">
        <x:v>Superseded</x:v>
      </x:c>
      <x:c r="D18" s="102" t="str">
        <x:v>Contrasting source family</x:v>
      </x:c>
      <x:c r="E18" s="102" t="str">
        <x:v>S42</x:v>
      </x:c>
      <x:c r="F18" s="102" t="str">
        <x:v>Earlier small-example answer did not settle family scope; see new Q24.</x:v>
      </x:c>
      <x:c r="G18" s="102" t="str">
        <x:v>Tests the breadth of the interpretation on paper; added hardware hierarchy does not help the model-only case.</x:v>
      </x:c>
      <x:c r="H18" s="102" t="str">
        <x:v>Manufacturer datasheet revision 1.24, §§3.3–3.4.</x:v>
      </x:c>
      <x:c r="I18" s="102" t="str">
        <x:v>Research + owner when decision necessary</x:v>
      </x:c>
      <x:c r="J18" s="102" t="str">
        <x:v>Historical lead; not a prerequisite for continuing the content comparison.</x:v>
      </x:c>
    </x:row>
    <x:row r="19" ht="70" hidden="0" customHeight="1">
      <x:c r="A19" s="105" t="str">
        <x:v>Q14</x:v>
      </x:c>
      <x:c r="B19" s="89" t="str">
        <x:v>Medium</x:v>
      </x:c>
      <x:c r="C19" s="89" t="str">
        <x:v>Deferred</x:v>
      </x:c>
      <x:c r="D19" s="89" t="str">
        <x:v>Additional profile precedents</x:v>
      </x:c>
      <x:c r="E19" s="89" t="str">
        <x:v>L14b</x:v>
      </x:c>
      <x:c r="F19" s="89" t="str">
        <x:v>Discovery Profile and catalogue companion recovered and assessed as S33–S34.</x:v>
      </x:c>
      <x:c r="G19" s="89" t="str">
        <x:v>Does another precedent change the proposed agreement or validation?</x:v>
      </x:c>
      <x:c r="H19" s="89" t="str">
        <x:v>12 comparison decisions and 9 isolated predicate cases</x:v>
      </x:c>
      <x:c r="I19" s="89" t="str">
        <x:v>Research</x:v>
      </x:c>
      <x:c r="J19" s="89" t="str">
        <x:v>Historical lead; not a prerequisite for continuing the content comparison.</x:v>
      </x:c>
    </x:row>
    <x:row r="20" ht="70" hidden="0" customHeight="1">
      <x:c r="A20" s="104" t="str">
        <x:v>Q15</x:v>
      </x:c>
      <x:c r="B20" s="102" t="str">
        <x:v>Low</x:v>
      </x:c>
      <x:c r="C20" s="102" t="str">
        <x:v>Deferred</x:v>
      </x:c>
      <x:c r="D20" s="102" t="str">
        <x:v>SIF-SP comparator</x:v>
      </x:c>
      <x:c r="E20" s="102" t="str">
        <x:v>L14b</x:v>
      </x:c>
      <x:c r="F20" s="102" t="str">
        <x:v>Review only after independent literature synthesis.</x:v>
      </x:c>
      <x:c r="G20" s="102" t="str">
        <x:v>Any genuinely additional requirement or historical lesson</x:v>
      </x:c>
      <x:c r="H20" s="102" t="str">
        <x:v>Clearly separate supplemental comparison</x:v>
      </x:c>
      <x:c r="I20" s="102" t="str">
        <x:v>Research</x:v>
      </x:c>
      <x:c r="J20" s="102" t="str">
        <x:v>Historical lead; not a prerequisite for continuing the content comparison.</x:v>
      </x:c>
    </x:row>
    <x:row r="21" ht="70" hidden="0" customHeight="1">
      <x:c r="A21" s="105" t="str">
        <x:v>Q16</x:v>
      </x:c>
      <x:c r="B21" s="89" t="str">
        <x:v>High</x:v>
      </x:c>
      <x:c r="C21" s="89" t="str">
        <x:v>Deferred</x:v>
      </x:c>
      <x:c r="D21" s="89" t="str">
        <x:v>OGC status transition</x:v>
      </x:c>
      <x:c r="E21" s="89" t="str">
        <x:v>S01–S04; S25; S29–S30</x:v>
      </x:c>
      <x:c r="F21" s="89" t="str">
        <x:v>Current OGC standing is established. Check pending status-transition work only before proposing another request.</x:v>
      </x:c>
      <x:c r="G21" s="89" t="str">
        <x:v>Avoid duplicate addition or unjustified retirement</x:v>
      </x:c>
      <x:c r="H21" s="89" t="str">
        <x:v>Existing pending-CR references and applicability reasoning, not a duplicate current-baseline lookup</x:v>
      </x:c>
      <x:c r="I21" s="89" t="str">
        <x:v>Standards lead + responsible TWG</x:v>
      </x:c>
      <x:c r="J21" s="89" t="str">
        <x:v>Historical lead; not a prerequisite for continuing the content comparison.</x:v>
      </x:c>
    </x:row>
    <x:row r="22" ht="70" hidden="0" customHeight="1">
      <x:c r="A22" s="104" t="str">
        <x:v>Q17</x:v>
      </x:c>
      <x:c r="B22" s="102" t="str">
        <x:v>High</x:v>
      </x:c>
      <x:c r="C22" s="102" t="str">
        <x:v>Deferred</x:v>
      </x:c>
      <x:c r="D22" s="102" t="str">
        <x:v>Exact NATO adoption package</x:v>
      </x:c>
      <x:c r="E22" s="102" t="str">
        <x:v>S01–S04; S31–S32</x:v>
      </x:c>
      <x:c r="F22" s="102" t="str">
        <x:v>Recover actual AEP-4789 Volume II and current authoritative ratification/implementation record.</x:v>
      </x:c>
      <x:c r="G22" s="102" t="str">
        <x:v>Separate proposed package from promulgated and nationally implemented obligations</x:v>
      </x:c>
      <x:c r="H22" s="102" t="str">
        <x:v>Exact volume clauses, editions, and national reservations/implementation records</x:v>
      </x:c>
      <x:c r="I22" s="102" t="str">
        <x:v>4789 custodian / authorized national POC</x:v>
      </x:c>
      <x:c r="J22" s="102" t="str">
        <x:v>Historical lead; not a prerequisite for continuing the content comparison.</x:v>
      </x:c>
    </x:row>
    <x:row r="23" ht="70" hidden="0" customHeight="1">
      <x:c r="A23" s="105" t="str">
        <x:v>Q18</x:v>
      </x:c>
      <x:c r="B23" s="89" t="str">
        <x:v>High</x:v>
      </x:c>
      <x:c r="C23" s="89" t="str">
        <x:v>Answered</x:v>
      </x:c>
      <x:c r="D23" s="89" t="str">
        <x:v>Donor intended-use contract</x:v>
      </x:c>
      <x:c r="E23" s="89" t="str">
        <x:v>S05–S18; S28</x:v>
      </x:c>
      <x:c r="F23" s="89" t="str">
        <x:v>All 42 source entries state their actual use; the worked chapter states no native donor-model implementation for the selected records.</x:v>
      </x:c>
      <x:c r="G23" s="89" t="str">
        <x:v>Avoid claiming native donor conformance through a new CSAPI binding</x:v>
      </x:c>
      <x:c r="H23" s="89" t="str">
        <x:v>Conformance Plan and narrative subsections distinguish native, bridge, new agreement and precedent</x:v>
      </x:c>
      <x:c r="I23" s="89" t="str">
        <x:v>Research + domain SME + integrator</x:v>
      </x:c>
      <x:c r="J23" s="89" t="str">
        <x:v>Historical lead; not a prerequisite for continuing the content comparison.</x:v>
      </x:c>
    </x:row>
    <x:row r="24" ht="70" hidden="0" customHeight="1">
      <x:c r="A24" s="104" t="str">
        <x:v>Q19</x:v>
      </x:c>
      <x:c r="B24" s="102" t="str">
        <x:v>High</x:v>
      </x:c>
      <x:c r="C24" s="102" t="str">
        <x:v>Deferred</x:v>
      </x:c>
      <x:c r="D24" s="102" t="str">
        <x:v>Dependency edition: UCUM</x:v>
      </x:c>
      <x:c r="E24" s="102" t="str">
        <x:v>S01; S14</x:v>
      </x:c>
      <x:c r="F24" s="102" t="str">
        <x:v>Resolve SensorML’s dated UCUM 2.1 reference against the inspected UCUM 2.2 source.</x:v>
      </x:c>
      <x:c r="G24" s="102" t="str">
        <x:v>Prevent silent dependency drift or unnecessary standard amendment</x:v>
      </x:c>
      <x:c r="H24" s="102" t="str">
        <x:v>Relevant version differences, selected code tests, governance interpretation</x:v>
      </x:c>
      <x:c r="I24" s="102" t="str">
        <x:v>OGC standards editor + implementer</x:v>
      </x:c>
      <x:c r="J24" s="102" t="str">
        <x:v>Historical lead; not a prerequisite for continuing the content comparison.</x:v>
      </x:c>
    </x:row>
    <x:row r="25" ht="70" hidden="0" customHeight="1">
      <x:c r="A25" s="105" t="str">
        <x:v>Q20</x:v>
      </x:c>
      <x:c r="B25" s="89" t="str">
        <x:v>Medium</x:v>
      </x:c>
      <x:c r="C25" s="89" t="str">
        <x:v>Deferred</x:v>
      </x:c>
      <x:c r="D25" s="89" t="str">
        <x:v>Current governance procedure</x:v>
      </x:c>
      <x:c r="E25" s="89" t="str">
        <x:v>S29–S32</x:v>
      </x:c>
      <x:c r="F25" s="89" t="str">
        <x:v>Obtain current DoDI/JESC and NISP submission procedures; public full-text/recent-baseline access was limited.</x:v>
      </x:c>
      <x:c r="G25" s="89" t="str">
        <x:v>Choose record update, profile reference, status change, or no action</x:v>
      </x:c>
      <x:c r="H25" s="89" t="str">
        <x:v>Authoritative current procedures and responsible body, plus specific demonstrated gap</x:v>
      </x:c>
      <x:c r="I25" s="89" t="str">
        <x:v>Standards lead</x:v>
      </x:c>
      <x:c r="J25" s="89" t="str">
        <x:v>Historical lead; not a prerequisite for continuing the content comparison.</x:v>
      </x:c>
    </x:row>
    <x:row r="26" ht="70" hidden="0" customHeight="1">
      <x:c r="A26" s="104" t="str">
        <x:v>Q21</x:v>
      </x:c>
      <x:c r="B26" s="102" t="str">
        <x:v>High</x:v>
      </x:c>
      <x:c r="C26" s="102" t="str">
        <x:v>Deferred</x:v>
      </x:c>
      <x:c r="D26" s="102" t="str">
        <x:v>Current OGC dependency discrepancy</x:v>
      </x:c>
      <x:c r="E26" s="102" t="str">
        <x:v>S03; Comparison B12</x:v>
      </x:c>
      <x:c r="F26" s="102" t="str">
        <x:v>Request OGC clarification of §19.2.1 SensorML3 prerequisites versus AnnexA.13 SensorML2.1 reference; include stale §19.2.2 note.</x:v>
      </x:c>
      <x:c r="G26" s="102" t="str">
        <x:v>Prevent a silently repaired conformance claim</x:v>
      </x:c>
      <x:c r="H26" s="102" t="str">
        <x:v>Authoritative disposition or published correction; retain original locators</x:v>
      </x:c>
      <x:c r="I26" s="102" t="str">
        <x:v>Research + OGC standards editors</x:v>
      </x:c>
      <x:c r="J26" s="102" t="str">
        <x:v>Historical lead; not a prerequisite for continuing the content comparison.</x:v>
      </x:c>
    </x:row>
    <x:row r="27" ht="70" hidden="0" customHeight="1">
      <x:c r="A27" s="105" t="str">
        <x:v>Q22</x:v>
      </x:c>
      <x:c r="B27" s="89" t="str">
        <x:v>Low</x:v>
      </x:c>
      <x:c r="C27" s="89" t="str">
        <x:v>Withdrawn</x:v>
      </x:c>
      <x:c r="D27" s="89" t="str">
        <x:v>Identity baseline executable assessment</x:v>
      </x:c>
      <x:c r="E27" s="89" t="str">
        <x:v>S01–S03; Comparison B01–B10</x:v>
      </x:c>
      <x:c r="F27" s="89" t="str">
        <x:v>No identifier-focused implementation or compliance sequence is authorized by the present work. Retained as history.</x:v>
      </x:c>
      <x:c r="G27" s="89" t="str">
        <x:v>Determine whether any domain agreement is actually needed</x:v>
      </x:c>
      <x:c r="H27" s="89" t="str">
        <x:v>Schema/API test results and separate semantic-fidelity review</x:v>
      </x:c>
      <x:c r="I27" s="89" t="str">
        <x:v>Research + integrator review</x:v>
      </x:c>
      <x:c r="J27" s="89" t="str">
        <x:v>Historical lead; not a prerequisite for continuing the content comparison.</x:v>
      </x:c>
    </x:row>
    <x:row r="28" ht="70" hidden="0" customHeight="1">
      <x:c r="A28" s="104" t="str">
        <x:v>Q23</x:v>
      </x:c>
      <x:c r="B28" s="102" t="str">
        <x:v>Medium</x:v>
      </x:c>
      <x:c r="C28" s="102" t="str">
        <x:v>Deferred</x:v>
      </x:c>
      <x:c r="D28" s="102" t="str">
        <x:v>OPC absence explanation</x:v>
      </x:c>
      <x:c r="E28" s="102" t="str">
        <x:v>S05–S08; S16–S17; S25</x:v>
      </x:c>
      <x:c r="F28" s="102" t="str">
        <x:v>Investigate actual selection/rejection history and competing baseline approaches only through decision evidence.</x:v>
      </x:c>
      <x:c r="G28" s="102" t="str">
        <x:v>Explain absence without assuming OPC lost to a particular alternative</x:v>
      </x:c>
      <x:c r="H28" s="102" t="str">
        <x:v>Decision record, rejected CR, authoritative history or explicitly unresolved result</x:v>
      </x:c>
      <x:c r="I28" s="102" t="str">
        <x:v>Research + relevant standards community</x:v>
      </x:c>
      <x:c r="J28" s="102" t="str">
        <x:v>Historical lead; not a prerequisite for continuing the content comparison.</x:v>
      </x:c>
    </x:row>
    <x:row r="29" ht="115" customHeight="1">
      <x:c r="A29" s="240" t="str">
        <x:v>Q24</x:v>
      </x:c>
      <x:c r="B29" s="239" t="str">
        <x:v>High</x:v>
      </x:c>
      <x:c r="C29" s="239" t="str">
        <x:v>Answered</x:v>
      </x:c>
      <x:c r="D29" s="239" t="str">
        <x:v>Engineering family and profile scope</x:v>
      </x:c>
      <x:c r="E29" s="239" t="str">
        <x:v>S46–S52; current paper §1</x:v>
      </x:c>
      <x:c r="F29" s="239" t="str">
        <x:v>Accept broader sensing-system applicability as the working research basis.</x:v>
      </x:c>
      <x:c r="G29" s="239" t="str">
        <x:v>Stops screenshot completeness from defining profile coverage.</x:v>
      </x:c>
      <x:c r="H29" s="239" t="str">
        <x:v>SNRA overview, OSUS Asset model, environmental and OGC examples inspected.</x:v>
      </x:c>
      <x:c r="I29" s="239" t="str">
        <x:v>Sam / research</x:v>
      </x:c>
      <x:c r="J29" s="239" t="str">
        <x:v>Completed in v0.7; final profile remains to author.</x:v>
      </x:c>
    </x:row>
    <x:row r="30" ht="115" customHeight="1">
      <x:c r="A30" s="240" t="str">
        <x:v>Q25</x:v>
      </x:c>
      <x:c r="B30" s="239" t="str">
        <x:v>High</x:v>
      </x:c>
      <x:c r="C30" s="239" t="str">
        <x:v>Open</x:v>
      </x:c>
      <x:c r="D30" s="239" t="str">
        <x:v>Profile outline and content-source selection</x:v>
      </x:c>
      <x:c r="E30" s="239" t="str">
        <x:v>Current paper §1; Family Applicability</x:v>
      </x:c>
      <x:c r="F30" s="239" t="str">
        <x:v>Specify whole-device subjects, inherited domain content and authored OGC bindings.</x:v>
      </x:c>
      <x:c r="G30" s="239" t="str">
        <x:v>Selects a coherent profile rather than accumulating standard names.</x:v>
      </x:c>
      <x:c r="H30" s="239" t="str">
        <x:v>Subject-by-subject source rationale, meaning of implementation and remaining custom work.</x:v>
      </x:c>
      <x:c r="I30" s="239" t="str">
        <x:v>Sam / research</x:v>
      </x:c>
      <x:c r="J30" s="239" t="str">
        <x:v>Recommended next increment; no code or tests.</x:v>
      </x:c>
    </x:row>
    <x:row r="31" ht="115" customHeight="1">
      <x:c r="A31" s="240" t="str">
        <x:v>Q26</x:v>
      </x:c>
      <x:c r="B31" s="239" t="str">
        <x:v>High</x:v>
      </x:c>
      <x:c r="C31" s="239" t="str">
        <x:v>Open</x:v>
      </x:c>
      <x:c r="D31" s="239" t="str">
        <x:v>Power Source coordination</x:v>
      </x:c>
      <x:c r="E31" s="239" t="str">
        <x:v>S10, S50; Power PITON and decision sheet</x:v>
      </x:c>
      <x:c r="F31" s="239" t="str">
        <x:v>Align the whole power arrangement with the system profile and assess wider applicability.</x:v>
      </x:c>
      <x:c r="G31" s="239" t="str">
        <x:v>Keeps power integral without restarting or silently overruling sibling work.</x:v>
      </x:c>
      <x:c r="H31" s="239" t="str">
        <x:v>A shared scope/relationship statement and justified power-model selection.</x:v>
      </x:c>
      <x:c r="I31" s="239" t="str">
        <x:v>Power Source workstream / research</x:v>
      </x:c>
      <x:c r="J31" s="239" t="str">
        <x:v>Coordinate during profile content selection.</x:v>
      </x:c>
    </x:row>
    <x:row r="32" ht="115" customHeight="1">
      <x:c r="A32" s="240" t="str">
        <x:v>Q27</x:v>
      </x:c>
      <x:c r="B32" s="239" t="str">
        <x:v>Medium</x:v>
      </x:c>
      <x:c r="C32" s="239" t="str">
        <x:v>Open</x:v>
      </x:c>
      <x:c r="D32" s="239" t="str">
        <x:v>Exact dependencies and unresolved lineage</x:v>
      </x:c>
      <x:c r="E32" s="239" t="str">
        <x:v>S43–S45, S16, S35, S52</x:v>
      </x:c>
      <x:c r="F32" s="239" t="str">
        <x:v>Recover only missing text that could change a proposed normative dependency or historical claim.</x:v>
      </x:c>
      <x:c r="G32" s="239" t="str">
        <x:v>Controls model-selection claims without blocking the supported scope.</x:v>
      </x:c>
      <x:c r="H32" s="239" t="str">
        <x:v>Actual OEM/interface/full-standard text or a recorded inability and bounded conclusion.</x:v>
      </x:c>
      <x:c r="I32" s="239" t="str">
        <x:v>Research</x:v>
      </x:c>
      <x:c r="J32" s="239" t="str">
        <x:v>Triggered by a named content choice, not a new broad survey.</x:v>
      </x:c>
    </x:row>
    <x:row r="33">
      <x:c r="A33" t="str">
        <x:v>Q28</x:v>
      </x:c>
      <x:c r="B33" t="str">
        <x:v>High</x:v>
      </x:c>
      <x:c r="C33" t="str">
        <x:v>Documented</x:v>
      </x:c>
      <x:c r="D33" t="str">
        <x:v>Reconcile bibliography and source register</x:v>
      </x:c>
      <x:c r="E33" t="str">
        <x:v>S01–S109; four sibling research packets</x:v>
      </x:c>
      <x:c r="F33" t="str">
        <x:v>Deduplicate sources, preserve all study evidence and stable global IDs</x:v>
      </x:c>
      <x:c r="G33" t="str">
        <x:v>109 individual annotations and matching register entries</x:v>
      </x:c>
      <x:c r="H33" t="str">
        <x:v>Full project packet; provenance crosswalk</x:v>
      </x:c>
      <x:c r="I33" t="str">
        <x:v>Main profile</x:v>
      </x:c>
      <x:c r="J33" t="str">
        <x:v>Complete as of 14 Oct; update only with new evidence</x:v>
      </x:c>
    </x:row>
    <x:row r="34">
      <x:c r="A34" t="str">
        <x:v>Q29</x:v>
      </x:c>
      <x:c r="B34" t="str">
        <x:v>High</x:v>
      </x:c>
      <x:c r="C34" t="str">
        <x:v>Blocked: full text</x:v>
      </x:c>
      <x:c r="D34" t="str">
        <x:v>IEEE 1451/2145x exact clauses</x:v>
      </x:c>
      <x:c r="E34" t="str">
        <x:v>S71–S84, S48, S25</x:v>
      </x:c>
      <x:c r="F34" t="str">
        <x:v>Verify current IEEE 1451.0-2024 against ISO/IEC/IEEE 21450 and applicable 21451 TEDS</x:v>
      </x:c>
      <x:c r="G34" t="str">
        <x:v>Prevents premature R04/R09–R12 normative mapping and DISR request</x:v>
      </x:c>
      <x:c r="H34" t="str">
        <x:v>Authorized full 2024/2010 editions; IEEE Pass 1A §11</x:v>
      </x:c>
      <x:c r="I34" t="str">
        <x:v>IEEE workstream</x:v>
      </x:c>
      <x:c r="J34" t="str">
        <x:v>Resume once user obtains lawful source access</x:v>
      </x:c>
    </x:row>
    <x:row r="35">
      <x:c r="A35" t="str">
        <x:v>Q30</x:v>
      </x:c>
      <x:c r="B35" t="str">
        <x:v>High</x:v>
      </x:c>
      <x:c r="C35" t="str">
        <x:v>Blocked: full text</x:v>
      </x:c>
      <x:c r="D35" t="str">
        <x:v>OMS 3.0 ObservingCapability</x:v>
      </x:c>
      <x:c r="E35" t="str">
        <x:v>S97–S99, S01–S04</x:v>
      </x:c>
      <x:c r="F35" t="str">
        <x:v>Verify OGC OMS 3.0 §10.5 exact requirements and relationships</x:v>
      </x:c>
      <x:c r="G35" t="str">
        <x:v>May replace local capability-context vocabulary or limit bindings</x:v>
      </x:c>
      <x:c r="H35" t="str">
        <x:v>Complete approved OMS normative text</x:v>
      </x:c>
      <x:c r="I35" t="str">
        <x:v>Foundational/main profile</x:v>
      </x:c>
      <x:c r="J35" t="str">
        <x:v>Only before binding approval; not a reason to reopen architecture</x:v>
      </x:c>
    </x:row>
    <x:row r="36">
      <x:c r="A36" t="str">
        <x:v>Q31</x:v>
      </x:c>
      <x:c r="B36" t="str">
        <x:v>High</x:v>
      </x:c>
      <x:c r="C36" t="str">
        <x:v>Owner review</x:v>
      </x:c>
      <x:c r="D36" t="str">
        <x:v>Power arrangement binding</x:v>
      </x:c>
      <x:c r="E36" t="str">
        <x:v>S09–S10, S61–S68</x:v>
      </x:c>
      <x:c r="F36" t="str">
        <x:v>Accept organizing energy model and decide scoped relationship/reference/event carrier</x:v>
      </x:c>
      <x:c r="G36" t="str">
        <x:v>R16–R17 draft; preserve arrangement ownership</x:v>
      </x:c>
      <x:c r="H36" t="str">
        <x:v>Power Source v0.1; OGC schema checks</x:v>
      </x:c>
      <x:c r="I36" t="str">
        <x:v>Main profile</x:v>
      </x:c>
      <x:c r="J36" t="str">
        <x:v>Before integrated v0.4 content lock</x:v>
      </x:c>
    </x:row>
    <x:row r="37">
      <x:c r="A37" t="str">
        <x:v>Q32</x:v>
      </x:c>
      <x:c r="B37" t="str">
        <x:v>Medium</x:v>
      </x:c>
      <x:c r="C37" t="str">
        <x:v>Owner review</x:v>
      </x:c>
      <x:c r="D37" t="str">
        <x:v>ISA-derived semantic rules</x:v>
      </x:c>
      <x:c r="E37" t="str">
        <x:v>S85–S95, S01–S04</x:v>
      </x:c>
      <x:c r="F37" t="str">
        <x:v>Clarify assignment vs command, mediation provenance, maturity and normalized/native coexistence</x:v>
      </x:c>
      <x:c r="G37" t="str">
        <x:v>Tighten conceptual accuracy without ISA CCD clone</x:v>
      </x:c>
      <x:c r="H37" t="str">
        <x:v>ISA Phase 2 report and R crosswalk</x:v>
      </x:c>
      <x:c r="I37" t="str">
        <x:v>Main profile</x:v>
      </x:c>
      <x:c r="J37" t="str">
        <x:v>Can proceed apart from IEEE full text</x:v>
      </x:c>
    </x:row>
    <x:row r="38">
      <x:c r="A38" t="str">
        <x:v>Q33</x:v>
      </x:c>
      <x:c r="B38" t="str">
        <x:v>High</x:v>
      </x:c>
      <x:c r="C38" t="str">
        <x:v>Owner review</x:v>
      </x:c>
      <x:c r="D38" t="str">
        <x:v>Foundational semantic decisions</x:v>
      </x:c>
      <x:c r="E38" t="str">
        <x:v>S97–S109, S13–S15</x:v>
      </x:c>
      <x:c r="F38" t="str">
        <x:v>Resolve observer/host/procedure/feature/variable definitions and R20 assessment distinction</x:v>
      </x:c>
      <x:c r="G38" t="str">
        <x:v>Avoid false equivalence, duplicate APIs and imprecise observedProperty labels</x:v>
      </x:c>
      <x:c r="H38" t="str">
        <x:v>Foundational decision register D; core OGC text</x:v>
      </x:c>
      <x:c r="I38" t="str">
        <x:v>Main profile</x:v>
      </x:c>
      <x:c r="J38" t="str">
        <x:v>Separate decided wording from OMS gated options</x:v>
      </x:c>
    </x:row>
    <x:row r="39">
      <x:c r="A39" t="str">
        <x:v>Q34</x:v>
      </x:c>
      <x:c r="B39" t="str">
        <x:v>Low</x:v>
      </x:c>
      <x:c r="C39" t="str">
        <x:v>On hold</x:v>
      </x:c>
      <x:c r="D39" t="str">
        <x:v>I-ADOPT OMS extension roadmap</x:v>
      </x:c>
      <x:c r="E39" t="str">
        <x:v>S107, S100–S103</x:v>
      </x:c>
      <x:c r="F39" t="str">
        <x:v>Recover approved artifact if future published change affects observedProperty mapping</x:v>
      </x:c>
      <x:c r="G39" t="str">
        <x:v>Do not treat inaccessible 2026–27 roadmap as adopted OMS change</x:v>
      </x:c>
      <x:c r="H39" t="str">
        <x:v>Reachable versioned normative/reference material</x:v>
      </x:c>
      <x:c r="I39" t="str">
        <x:v>Foundation source owner</x:v>
      </x:c>
      <x:c r="J39" t="str">
        <x:v>Only with a concrete profile decision</x:v>
      </x:c>
    </x:row>
    <x:row r="40">
      <x:c r="A40" t="str">
        <x:v>Q35</x:v>
      </x:c>
      <x:c r="B40" t="str">
        <x:v>Medium</x:v>
      </x:c>
      <x:c r="C40" t="str">
        <x:v>Conditional</x:v>
      </x:c>
      <x:c r="D40" t="str">
        <x:v>Source license and ontology-version pinning</x:v>
      </x:c>
      <x:c r="E40" t="str">
        <x:v>S59–S60, S69–S70, S100–S109</x:v>
      </x:c>
      <x:c r="F40" t="str">
        <x:v>Resolve exact machine-readable term redistribution and imported dependencies when selected</x:v>
      </x:c>
      <x:c r="G40" t="str">
        <x:v>Avoid license/reproducibility problems</x:v>
      </x:c>
      <x:c r="H40" t="str">
        <x:v>Relevant artifact notices, pins, target schema references</x:v>
      </x:c>
      <x:c r="I40" t="str">
        <x:v>Main profile</x:v>
      </x:c>
      <x:c r="J40" t="str">
        <x:v>Before publication of selected definitions</x:v>
      </x:c>
    </x:row>
    <x:row r="41">
      <x:c r="A41" t="str">
        <x:v>Q36</x:v>
      </x:c>
      <x:c r="B41" t="str">
        <x:v>Medium</x:v>
      </x:c>
      <x:c r="C41" t="str">
        <x:v>On hold</x:v>
      </x:c>
      <x:c r="D41" t="str">
        <x:v>Conformance and DISR applicability of added donors</x:v>
      </x:c>
      <x:c r="E41" t="str">
        <x:v>S25, S61–S84, S97–S109</x:v>
      </x:c>
      <x:c r="F41" t="str">
        <x:v>Name actual implementation target, exact edition and dependencies before proposing a registry status action</x:v>
      </x:c>
      <x:c r="G41" t="str">
        <x:v>No new adoption conclusion solely from citing a model</x:v>
      </x:c>
      <x:c r="H41" t="str">
        <x:v>Owner-selected binding and exact-source technical evidence</x:v>
      </x:c>
      <x:c r="I41" t="str">
        <x:v>Program standards lead</x:v>
      </x:c>
      <x:c r="J41" t="str">
        <x:v>After technical selection, not a testing campaign</x:v>
      </x:c>
    </x:row>
  </x:sheetData>
  <x:mergeCells>
    <x:mergeCell ref="A1:J1"/>
    <x:mergeCell ref="A2:J3"/>
  </x:mergeCells>
  <x:conditionalFormatting sqref="B6:C20">
    <x:cfRule type="expression" dxfId="0" priority="1">
      <x:formula>$C6="Open"</x:formula>
    </x:cfRule>
  </x:conditionalFormatting>
  <x:dataValidations count="3">
    <x:dataValidation type="list" sqref="B6:B20">
      <x:formula1>"High,Medium,Low"</x:formula1>
    </x:dataValidation>
    <x:dataValidation type="list" sqref="C6:C20">
      <x:formula1>"Open,In progress,Deferred,Closed"</x:formula1>
    </x:dataValidation>
    <x:dataValidation type="list" sqref="C6:C25">
      <x:formula1>"Open,In progress,Resolved,Deferred"</x:formula1>
    </x:dataValidation>
  </x:dataValidations>
  <x:pageMargins left="0.7" right="0.7" top="0.75" bottom="0.75" header="0.3" footer="0.3"/>
  <x:tableParts count="1">
    <x:tablePart xmlns:r="http://schemas.openxmlformats.org/officeDocument/2006/relationships" r:id="Rccb746f2fb414d3c"/>
  </x:tableParts>
</x:worksheet>
</file>

<file path=xl/worksheets/sheet6.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1" hidden="0" customWidth="1"/>
    <x:col min="2" max="2" width="43" hidden="0" customWidth="1"/>
    <x:col min="3" max="3" width="43" hidden="0" customWidth="1"/>
    <x:col min="4" max="4" width="40" hidden="0" customWidth="1"/>
    <x:col min="5" max="5" width="36" hidden="0" customWidth="1"/>
    <x:col min="6" max="6" width="39" hidden="0" customWidth="1"/>
    <x:col min="7" max="7" width="52" hidden="0" customWidth="1"/>
    <x:col min="8" max="8" width="29" hidden="0" customWidth="1"/>
    <x:col min="9" max="9" width="52" hidden="0" customWidth="1"/>
    <x:col min="10" max="10" width="54" hidden="0" customWidth="1"/>
  </x:cols>
  <x:sheetData>
    <x:row r="1" ht="30" customHeight="1">
      <x:c r="A1" s="95" t="str">
        <x:v>MERLIN | Research source register v0.10 | 22 October 2026</x:v>
      </x:c>
      <x:c r="B1" s="95"/>
      <x:c r="C1" s="95"/>
      <x:c r="D1" s="95"/>
      <x:c r="E1" s="95"/>
      <x:c r="F1" s="95"/>
      <x:c r="G1" s="95"/>
      <x:c r="H1" s="95"/>
      <x:c r="I1" s="95"/>
      <x:c r="J1" s="95"/>
    </x:row>
    <x:row r="2" ht="30" customHeight="1">
      <x:c r="A2" s="98" t="str">
        <x:v>S01–S124 retained; S125–S140 added. Technical profile v0.3.5 unchanged. Read the OSCAR Summary and source-access boundaries.</x:v>
      </x:c>
      <x:c r="B2" s="98"/>
      <x:c r="C2" s="98"/>
      <x:c r="D2" s="98"/>
      <x:c r="E2" s="98"/>
      <x:c r="F2" s="98"/>
      <x:c r="G2" s="98"/>
      <x:c r="H2" s="98"/>
      <x:c r="I2" s="98"/>
      <x:c r="J2" s="98"/>
    </x:row>
    <x:row r="3" ht="30" customHeight="1">
      <x:c r="A3" s="241" t="str">
        <x:v>v0.7 • Current family-level scope in the paper §1 and Family Applicability; source IDs remain stable.</x:v>
      </x:c>
      <x:c r="B3" s="241"/>
      <x:c r="C3" s="241"/>
      <x:c r="D3" s="241"/>
      <x:c r="E3" s="241"/>
      <x:c r="F3" s="241"/>
      <x:c r="G3" s="241"/>
      <x:c r="H3" s="241"/>
      <x:c r="I3" s="241"/>
      <x:c r="J3" s="241"/>
    </x:row>
    <x:row r="4" ht="9" customHeight="1">
      <x:c r="A4" s="89"/>
      <x:c r="B4" s="89"/>
      <x:c r="C4" s="89"/>
      <x:c r="D4" s="89"/>
      <x:c r="E4" s="89"/>
      <x:c r="F4" s="89"/>
      <x:c r="G4" s="89"/>
      <x:c r="H4" s="89"/>
      <x:c r="I4" s="89"/>
      <x:c r="J4" s="89"/>
    </x:row>
    <x:row r="5" ht="38" customHeight="1">
      <x:c r="A5" s="308" t="str">
        <x:v>Source ID</x:v>
      </x:c>
      <x:c r="B5" s="308" t="str">
        <x:v>Source title</x:v>
      </x:c>
      <x:c r="C5" s="308" t="str">
        <x:v>Text access</x:v>
      </x:c>
      <x:c r="D5" s="308" t="str">
        <x:v>Observed notice / limits</x:v>
      </x:c>
      <x:c r="E5" s="308" t="str">
        <x:v>Definition / schema reuse status</x:v>
      </x:c>
      <x:c r="F5" s="308" t="str">
        <x:v>Implementation / patent status</x:v>
      </x:c>
      <x:c r="G5" s="308" t="str">
        <x:v>Artifacts / tooling evidence</x:v>
      </x:c>
      <x:c r="H5" s="308" t="str">
        <x:v>Participation / change governance</x:v>
      </x:c>
      <x:c r="I5" s="308" t="str">
        <x:v>Next clearance question</x:v>
      </x:c>
      <x:c r="J5" s="308" t="str">
        <x:v>Source URL / locator</x:v>
      </x:c>
    </x:row>
    <x:row r="6" ht="74" hidden="0" customHeight="1">
      <x:c r="A6" s="309" t="str">
        <x:v>S01</x:v>
      </x:c>
      <x:c r="B6" s="310" t="str">
        <x:v>OGC SensorML Encoding Standard</x:v>
      </x:c>
      <x:c r="C6" s="310" t="str">
        <x:v>Public source text inspected</x:v>
      </x:c>
      <x:c r="D6" s="310" t="str">
        <x:v>Public text; OGC document license and patent notice; redistribution clearance not assessed</x:v>
      </x:c>
      <x:c r="E6" s="310" t="str">
        <x:v>Not fully assessed</x:v>
      </x:c>
      <x:c r="F6" s="310" t="str">
        <x:v>Implementation / patent clearance not established</x:v>
      </x:c>
      <x:c r="G6" s="310" t="str">
        <x:v>Document-level inspection; no executable artifact tested</x:v>
      </x:c>
      <x:c r="H6" s="310" t="str">
        <x:v>Responsible body recorded; participation and change-control terms not fully assessed</x:v>
      </x:c>
      <x:c r="I6" s="310" t="str">
        <x:v>Identify exactly what would be referenced, copied, modified, redistributed, or implemented before a targeted rights review.</x:v>
      </x:c>
      <x:c r="J6" s="310" t="str">
        <x:v>https://docs.ogc.org/is/23-000/23-000.html</x:v>
      </x:c>
    </x:row>
    <x:row r="7" ht="74" hidden="0" customHeight="1">
      <x:c r="A7" s="312" t="str">
        <x:v>S02</x:v>
      </x:c>
      <x:c r="B7" s="313" t="str">
        <x:v>OGC SWE Common Data Model Encoding Standard</x:v>
      </x:c>
      <x:c r="C7" s="313" t="str">
        <x:v>Public source text inspected</x:v>
      </x:c>
      <x:c r="D7" s="313" t="str">
        <x:v>Public text; OGC document license; exact schema files not executed</x:v>
      </x:c>
      <x:c r="E7" s="313" t="str">
        <x:v>Not fully assessed</x:v>
      </x:c>
      <x:c r="F7" s="313" t="str">
        <x:v>Implementation / patent clearance not established</x:v>
      </x:c>
      <x:c r="G7" s="313" t="str">
        <x:v>Document-level inspection; no executable artifact tested</x:v>
      </x:c>
      <x:c r="H7" s="313" t="str">
        <x:v>Responsible body recorded; participation and change-control terms not fully assessed</x:v>
      </x:c>
      <x:c r="I7" s="313" t="str">
        <x:v>Identify exactly what would be referenced, copied, modified, redistributed, or implemented before a targeted rights review.</x:v>
      </x:c>
      <x:c r="J7" s="313" t="str">
        <x:v>https://docs.ogc.org/is/24-014/24-014.html</x:v>
      </x:c>
    </x:row>
    <x:row r="8" ht="74" hidden="0" customHeight="1">
      <x:c r="A8" s="309" t="str">
        <x:v>S03</x:v>
      </x:c>
      <x:c r="B8" s="310" t="str">
        <x:v>OGC API – Connected Systems – Part 1: Feature Resources</x:v>
      </x:c>
      <x:c r="C8" s="310" t="str">
        <x:v>Public source text inspected</x:v>
      </x:c>
      <x:c r="D8" s="310" t="str">
        <x:v>Public approved standard; OGC document license; no implementation conformance test</x:v>
      </x:c>
      <x:c r="E8" s="310" t="str">
        <x:v>Not fully assessed</x:v>
      </x:c>
      <x:c r="F8" s="310" t="str">
        <x:v>Implementation / patent clearance not established</x:v>
      </x:c>
      <x:c r="G8" s="310" t="str">
        <x:v>Document-level inspection; no executable artifact tested</x:v>
      </x:c>
      <x:c r="H8" s="310" t="str">
        <x:v>Responsible body recorded; participation and change-control terms not fully assessed</x:v>
      </x:c>
      <x:c r="I8" s="310" t="str">
        <x:v>Identify exactly what would be referenced, copied, modified, redistributed, or implemented before a targeted rights review.</x:v>
      </x:c>
      <x:c r="J8" s="310" t="str">
        <x:v>https://docs.ogc.org/is/23-001/23-001.html</x:v>
      </x:c>
    </x:row>
    <x:row r="9" ht="74" hidden="0" customHeight="1">
      <x:c r="A9" s="312" t="str">
        <x:v>S04</x:v>
      </x:c>
      <x:c r="B9" s="313" t="str">
        <x:v>OGC API – Connected Systems – Part 2: Dynamic Data</x:v>
      </x:c>
      <x:c r="C9" s="313" t="str">
        <x:v>Public source text inspected</x:v>
      </x:c>
      <x:c r="D9" s="313" t="str">
        <x:v>Public approved standard; OGC document license; examples are not tested payloads</x:v>
      </x:c>
      <x:c r="E9" s="313" t="str">
        <x:v>Not fully assessed</x:v>
      </x:c>
      <x:c r="F9" s="313" t="str">
        <x:v>Implementation / patent clearance not established</x:v>
      </x:c>
      <x:c r="G9" s="313" t="str">
        <x:v>Document-level inspection; no executable artifact tested</x:v>
      </x:c>
      <x:c r="H9" s="313" t="str">
        <x:v>Responsible body recorded; participation and change-control terms not fully assessed</x:v>
      </x:c>
      <x:c r="I9" s="313" t="str">
        <x:v>Identify exactly what would be referenced, copied, modified, redistributed, or implemented before a targeted rights review.</x:v>
      </x:c>
      <x:c r="J9" s="313" t="str">
        <x:v>https://docs.ogc.org/is/23-002/23-002.html</x:v>
      </x:c>
    </x:row>
    <x:row r="10" ht="74" hidden="0" customHeight="1">
      <x:c r="A10" s="309" t="str">
        <x:v>S05</x:v>
      </x:c>
      <x:c r="B10" s="310" t="str">
        <x:v>OPC Unified Architecture – Part 100: Devices</x:v>
      </x:c>
      <x:c r="C10" s="310" t="str">
        <x:v>Public source text inspected</x:v>
      </x:c>
      <x:c r="D10" s="310" t="str">
        <x:v>Public reference text; specification license linked; NodeSet listed but not executed</x:v>
      </x:c>
      <x:c r="E10" s="310" t="str">
        <x:v>Not fully assessed</x:v>
      </x:c>
      <x:c r="F10" s="310" t="str">
        <x:v>Implementation / patent clearance not established</x:v>
      </x:c>
      <x:c r="G10" s="310" t="str">
        <x:v>Catalog lists NodeSet / downloadable artifacts; not executed</x:v>
      </x:c>
      <x:c r="H10" s="310" t="str">
        <x:v>Responsible body recorded; participation and change-control terms not fully assessed</x:v>
      </x:c>
      <x:c r="I10" s="310" t="str">
        <x:v>Identify exactly what would be referenced, copied, modified, redistributed, or implemented before a targeted rights review.</x:v>
      </x:c>
      <x:c r="J10" s="310" t="str">
        <x:v>https://reference.opcfoundation.org/specs/OPC-10000-100/v1.05.0</x:v>
      </x:c>
    </x:row>
    <x:row r="11" ht="74" hidden="0" customHeight="1">
      <x:c r="A11" s="312" t="str">
        <x:v>S06</x:v>
      </x:c>
      <x:c r="B11" s="313" t="str">
        <x:v>OPC UA for Process Automation Devices – PA-DIM</x:v>
      </x:c>
      <x:c r="C11" s="313" t="str">
        <x:v>Public source text inspected</x:v>
      </x:c>
      <x:c r="D11" s="313" t="str">
        <x:v>Public reference text; license linked; supplementary NodeSet identified, not tested</x:v>
      </x:c>
      <x:c r="E11" s="313" t="str">
        <x:v>Not fully assessed</x:v>
      </x:c>
      <x:c r="F11" s="313" t="str">
        <x:v>Implementation / patent clearance not established</x:v>
      </x:c>
      <x:c r="G11" s="313" t="str">
        <x:v>Catalog lists package; not executed</x:v>
      </x:c>
      <x:c r="H11" s="313" t="str">
        <x:v>Responsible body recorded; participation and change-control terms not fully assessed</x:v>
      </x:c>
      <x:c r="I11" s="313" t="str">
        <x:v>Identify exactly what would be referenced, copied, modified, redistributed, or implemented before a targeted rights review.</x:v>
      </x:c>
      <x:c r="J11" s="313" t="str">
        <x:v>https://reference.opcfoundation.org/specs/OPC-30081</x:v>
      </x:c>
    </x:row>
    <x:row r="12" ht="74" hidden="0" customHeight="1">
      <x:c r="A12" s="309" t="str">
        <x:v>S07</x:v>
      </x:c>
      <x:c r="B12" s="310" t="str">
        <x:v>Specification of the Asset Administration Shell – Part 1: Metamodel</x:v>
      </x:c>
      <x:c r="C12" s="310" t="str">
        <x:v>Public source text inspected</x:v>
      </x:c>
      <x:c r="D12" s="310" t="str">
        <x:v>Specification declares CC BY 4.0; template and implementation rights require separate checks</x:v>
      </x:c>
      <x:c r="E12" s="310" t="str">
        <x:v>CC BY 4.0 notice inspected</x:v>
      </x:c>
      <x:c r="F12" s="310" t="str">
        <x:v>Implementation / patent clearance not established</x:v>
      </x:c>
      <x:c r="G12" s="310" t="str">
        <x:v>Metamodel documentation inspected; template and runtime not tested</x:v>
      </x:c>
      <x:c r="H12" s="310" t="str">
        <x:v>Responsible body recorded; participation and change-control terms not fully assessed</x:v>
      </x:c>
      <x:c r="I12" s="310" t="str">
        <x:v>Identify exactly what would be referenced, copied, modified, redistributed, or implemented before a targeted rights review.</x:v>
      </x:c>
      <x:c r="J12" s="310" t="str">
        <x:v>https://industrialdigitaltwin.io/aas-specifications/IDTA-01001/v3.2/index.html</x:v>
      </x:c>
    </x:row>
    <x:row r="13" ht="74" hidden="0" customHeight="1">
      <x:c r="A13" s="312" t="str">
        <x:v>S08</x:v>
      </x:c>
      <x:c r="B13" s="313" t="str">
        <x:v>A YANG Data Model for Hardware Management</x:v>
      </x:c>
      <x:c r="C13" s="313" t="str">
        <x:v>Public source text inspected</x:v>
      </x:c>
      <x:c r="D13" s="313" t="str">
        <x:v>Public RFC; IETF Trust terms; extracted code subject to stated Simplified BSD provisions</x:v>
      </x:c>
      <x:c r="E13" s="313" t="str">
        <x:v>Not fully assessed</x:v>
      </x:c>
      <x:c r="F13" s="313" t="str">
        <x:v>Implementation / patent clearance not established</x:v>
      </x:c>
      <x:c r="G13" s="313" t="str">
        <x:v>YANG module text inspected; no implementation run</x:v>
      </x:c>
      <x:c r="H13" s="313" t="str">
        <x:v>Responsible body recorded; participation and change-control terms not fully assessed</x:v>
      </x:c>
      <x:c r="I13" s="313" t="str">
        <x:v>Identify exactly what would be referenced, copied, modified, redistributed, or implemented before a targeted rights review.</x:v>
      </x:c>
      <x:c r="J13" s="313" t="str">
        <x:v>https://www.rfc-editor.org/rfc/rfc8348.html</x:v>
      </x:c>
    </x:row>
    <x:row r="14" ht="74" hidden="0" customHeight="1">
      <x:c r="A14" s="309" t="str">
        <x:v>S09</x:v>
      </x:c>
      <x:c r="B14" s="310" t="str">
        <x:v>Definition of Managed Objects for Battery Monitoring</x:v>
      </x:c>
      <x:c r="C14" s="310" t="str">
        <x:v>Public source text inspected</x:v>
      </x:c>
      <x:c r="D14" s="310" t="str">
        <x:v>Public Standards Track RFC; IETF Trust and code-component provisions; no SNMP test</x:v>
      </x:c>
      <x:c r="E14" s="310" t="str">
        <x:v>Not fully assessed</x:v>
      </x:c>
      <x:c r="F14" s="310" t="str">
        <x:v>Implementation / patent clearance not established</x:v>
      </x:c>
      <x:c r="G14" s="310" t="str">
        <x:v>MIB definitions inspected; no agent tested</x:v>
      </x:c>
      <x:c r="H14" s="310" t="str">
        <x:v>Responsible body recorded; participation and change-control terms not fully assessed</x:v>
      </x:c>
      <x:c r="I14" s="310" t="str">
        <x:v>Identify exactly what would be referenced, copied, modified, redistributed, or implemented before a targeted rights review.</x:v>
      </x:c>
      <x:c r="J14" s="310" t="str">
        <x:v>https://www.rfc-editor.org/rfc/rfc7577.html</x:v>
      </x:c>
    </x:row>
    <x:row r="15" ht="74" hidden="0" customHeight="1">
      <x:c r="A15" s="312" t="str">
        <x:v>S10</x:v>
      </x:c>
      <x:c r="B15" s="313" t="str">
        <x:v>Energy Management Framework</x:v>
      </x:c>
      <x:c r="C15" s="313" t="str">
        <x:v>Public source text inspected</x:v>
      </x:c>
      <x:c r="D15" s="313" t="str">
        <x:v>Public Informational RFC; IETF Trust terms; code provisions are not full patent clearance</x:v>
      </x:c>
      <x:c r="E15" s="313" t="str">
        <x:v>Not fully assessed</x:v>
      </x:c>
      <x:c r="F15" s="313" t="str">
        <x:v>Implementation / patent clearance not established</x:v>
      </x:c>
      <x:c r="G15" s="313" t="str">
        <x:v>Document-level inspection; no executable artifact tested</x:v>
      </x:c>
      <x:c r="H15" s="313" t="str">
        <x:v>Responsible body recorded; participation and change-control terms not fully assessed</x:v>
      </x:c>
      <x:c r="I15" s="313" t="str">
        <x:v>Identify exactly what would be referenced, copied, modified, redistributed, or implemented before a targeted rights review.</x:v>
      </x:c>
      <x:c r="J15" s="313" t="str">
        <x:v>https://www.rfc-editor.org/rfc/rfc7326.html</x:v>
      </x:c>
    </x:row>
    <x:row r="16" ht="74" hidden="0" customHeight="1">
      <x:c r="A16" s="309" t="str">
        <x:v>S11</x:v>
      </x:c>
      <x:c r="B16" s="310" t="str">
        <x:v>Web of Things (WoT) Architecture 1.1</x:v>
      </x:c>
      <x:c r="C16" s="310" t="str">
        <x:v>Public source text inspected</x:v>
      </x:c>
      <x:c r="D16" s="310" t="str">
        <x:v>Public W3C Recommendation; permissive document license; implementation report linked, not audited</x:v>
      </x:c>
      <x:c r="E16" s="310" t="str">
        <x:v>Not fully assessed</x:v>
      </x:c>
      <x:c r="F16" s="310" t="str">
        <x:v>Implementation / patent clearance not established</x:v>
      </x:c>
      <x:c r="G16" s="310" t="str">
        <x:v>Document-level inspection; no executable artifact tested</x:v>
      </x:c>
      <x:c r="H16" s="310" t="str">
        <x:v>Responsible body recorded; participation and change-control terms not fully assessed</x:v>
      </x:c>
      <x:c r="I16" s="310" t="str">
        <x:v>Identify exactly what would be referenced, copied, modified, redistributed, or implemented before a targeted rights review.</x:v>
      </x:c>
      <x:c r="J16" s="310" t="str">
        <x:v>https://www.w3.org/TR/2023/REC-wot-architecture11-20231205/</x:v>
      </x:c>
    </x:row>
    <x:row r="17" ht="74" hidden="0" customHeight="1">
      <x:c r="A17" s="312" t="str">
        <x:v>S12</x:v>
      </x:c>
      <x:c r="B17" s="313" t="str">
        <x:v>SAREF: The Smart Applications REFerence Ontology</x:v>
      </x:c>
      <x:c r="C17" s="313" t="str">
        <x:v>Public source text inspected</x:v>
      </x:c>
      <x:c r="D17" s="313" t="str">
        <x:v>Public ontology serialization/documentation; redistribution and patent terms not fully assessed</x:v>
      </x:c>
      <x:c r="E17" s="313" t="str">
        <x:v>Not fully assessed</x:v>
      </x:c>
      <x:c r="F17" s="313" t="str">
        <x:v>Implementation / patent clearance not established</x:v>
      </x:c>
      <x:c r="G17" s="313" t="str">
        <x:v>Ontology term documentation inspected; no alignment test</x:v>
      </x:c>
      <x:c r="H17" s="313" t="str">
        <x:v>Responsible body recorded; participation and change-control terms not fully assessed</x:v>
      </x:c>
      <x:c r="I17" s="313" t="str">
        <x:v>Identify exactly what would be referenced, copied, modified, redistributed, or implemented before a targeted rights review.</x:v>
      </x:c>
      <x:c r="J17" s="313" t="str">
        <x:v>https://saref.etsi.org/core/v4.1.1/</x:v>
      </x:c>
    </x:row>
    <x:row r="18" ht="74" hidden="0" customHeight="1">
      <x:c r="A18" s="309" t="str">
        <x:v>S13</x:v>
      </x:c>
      <x:c r="B18" s="310" t="str">
        <x:v>Semantic Sensor Network Ontology</x:v>
      </x:c>
      <x:c r="C18" s="310" t="str">
        <x:v>Public source text inspected</x:v>
      </x:c>
      <x:c r="D18" s="310" t="str">
        <x:v>Public W3C/OGC work; this edition pinned; later alignment/status must be checked separately</x:v>
      </x:c>
      <x:c r="E18" s="310" t="str">
        <x:v>Not fully assessed</x:v>
      </x:c>
      <x:c r="F18" s="310" t="str">
        <x:v>Implementation / patent clearance not established</x:v>
      </x:c>
      <x:c r="G18" s="310" t="str">
        <x:v>Document-level inspection; no executable artifact tested</x:v>
      </x:c>
      <x:c r="H18" s="310" t="str">
        <x:v>Responsible body recorded; participation and change-control terms not fully assessed</x:v>
      </x:c>
      <x:c r="I18" s="310" t="str">
        <x:v>Identify exactly what would be referenced, copied, modified, redistributed, or implemented before a targeted rights review.</x:v>
      </x:c>
      <x:c r="J18" s="310" t="str">
        <x:v>https://www.w3.org/TR/2017/REC-vocab-ssn-20171019/</x:v>
      </x:c>
    </x:row>
    <x:row r="19" ht="74" hidden="0" customHeight="1">
      <x:c r="A19" s="312" t="str">
        <x:v>S14</x:v>
      </x:c>
      <x:c r="B19" s="313" t="str">
        <x:v>The Unified Code for Units of Measure</x:v>
      </x:c>
      <x:c r="C19" s="313" t="str">
        <x:v>Public source text inspected</x:v>
      </x:c>
      <x:c r="D19" s="313" t="str">
        <x:v>Public specification; complete redistribution/implementation terms not assessed</x:v>
      </x:c>
      <x:c r="E19" s="313" t="str">
        <x:v>Not fully assessed</x:v>
      </x:c>
      <x:c r="F19" s="313" t="str">
        <x:v>Implementation / patent clearance not established</x:v>
      </x:c>
      <x:c r="G19" s="313" t="str">
        <x:v>Document-level inspection; no executable artifact tested</x:v>
      </x:c>
      <x:c r="H19" s="313" t="str">
        <x:v>Responsible body recorded; participation and change-control terms not fully assessed</x:v>
      </x:c>
      <x:c r="I19" s="313" t="str">
        <x:v>Identify exactly what would be referenced, copied, modified, redistributed, or implemented before a targeted rights review.</x:v>
      </x:c>
      <x:c r="J19" s="313" t="str">
        <x:v>https://ucum.org/ucum</x:v>
      </x:c>
    </x:row>
    <x:row r="20" ht="74" hidden="0" customHeight="1">
      <x:c r="A20" s="309" t="str">
        <x:v>S15</x:v>
      </x:c>
      <x:c r="B20" s="310" t="str">
        <x:v>Voltage</x:v>
      </x:c>
      <x:c r="C20" s="310" t="str">
        <x:v>Public source text inspected</x:v>
      </x:c>
      <x:c r="D20" s="310" t="str">
        <x:v>Public record; vocabulary reuse/license conditions not audited</x:v>
      </x:c>
      <x:c r="E20" s="310" t="str">
        <x:v>Not fully assessed</x:v>
      </x:c>
      <x:c r="F20" s="310" t="str">
        <x:v>Implementation / patent clearance not established</x:v>
      </x:c>
      <x:c r="G20" s="310" t="str">
        <x:v>Quantity-kind record inspected; no unit conversion test</x:v>
      </x:c>
      <x:c r="H20" s="310" t="str">
        <x:v>Responsible body recorded; participation and change-control terms not fully assessed</x:v>
      </x:c>
      <x:c r="I20" s="310" t="str">
        <x:v>Identify exactly what would be referenced, copied, modified, redistributed, or implemented before a targeted rights review.</x:v>
      </x:c>
      <x:c r="J20" s="310" t="str">
        <x:v>https://qudt.org/vocab/quantitykind/Voltage</x:v>
      </x:c>
    </x:row>
    <x:row r="21" ht="74" hidden="0" customHeight="1">
      <x:c r="A21" s="312" t="str">
        <x:v>S16</x:v>
      </x:c>
      <x:c r="B21" s="313" t="str">
        <x:v>MIMOSA OSA-EAI</x:v>
      </x:c>
      <x:c r="C21" s="313" t="str">
        <x:v>Official overview and exact release page inspected</x:v>
      </x:c>
      <x:c r="D21" s="313" t="str">
        <x:v>MIMOSA License Agreement 2.1.a (31 January 2014) inspected; distribution conditions remain relevant.</x:v>
      </x:c>
      <x:c r="E21" s="313" t="str">
        <x:v>Broad royalty-free use/derivation described; redistribution and end-user conditions require artifact-specific review.</x:v>
      </x:c>
      <x:c r="F21" s="313" t="str">
        <x:v>No blanket patent or product clearance asserted.</x:v>
      </x:c>
      <x:c r="G21" s="313" t="str">
        <x:v>Exact release archive not retrieved. CCOM RC1 diagrams inspected separately as S35; no test execution.</x:v>
      </x:c>
      <x:c r="H21" s="313" t="str">
        <x:v>MIMOSA publication and licensing route; exact selected package governs.</x:v>
      </x:c>
      <x:c r="I21" s="313" t="str">
        <x:v>Check the actual package’s included license before redistributing definitions, schemas or derivatives.</x:v>
      </x:c>
      <x:c r="J21" s="313" t="str">
        <x:v>https://www.mimosa.org/mimosa-osa-eai/</x:v>
      </x:c>
    </x:row>
    <x:row r="22" ht="74" hidden="0" customHeight="1">
      <x:c r="A22" s="309" t="str">
        <x:v>S17</x:v>
      </x:c>
      <x:c r="B22" s="310" t="str">
        <x:v>MIMOSA OSA-CBM</x:v>
      </x:c>
      <x:c r="C22" s="310" t="str">
        <x:v>Official overview and exact release page inspected</x:v>
      </x:c>
      <x:c r="D22" s="310" t="str">
        <x:v>MIMOSA License Agreement 2.1.a (31 January 2014) inspected; distribution conditions remain relevant.</x:v>
      </x:c>
      <x:c r="E22" s="310" t="str">
        <x:v>Broad royalty-free use/derivation described; redistribution and end-user conditions require artifact-specific review.</x:v>
      </x:c>
      <x:c r="F22" s="310" t="str">
        <x:v>No blanket patent or product clearance asserted.</x:v>
      </x:c>
      <x:c r="G22" s="310" t="str">
        <x:v>Exact release archive not retrieved. CCOM RC1 diagrams inspected separately as S35; no test execution.</x:v>
      </x:c>
      <x:c r="H22" s="310" t="str">
        <x:v>MIMOSA publication and licensing route; exact selected package governs.</x:v>
      </x:c>
      <x:c r="I22" s="310" t="str">
        <x:v>Check the actual package’s included license before redistributing definitions, schemas or derivatives.</x:v>
      </x:c>
      <x:c r="J22" s="310" t="str">
        <x:v>https://www.mimosa.org/mimosa-osa-cbm/</x:v>
      </x:c>
    </x:row>
    <x:row r="23" ht="74" hidden="0" customHeight="1">
      <x:c r="A23" s="312" t="str">
        <x:v>S18</x:v>
      </x:c>
      <x:c r="B23" s="313" t="str">
        <x:v>OIIE Scenario 11 – Publish Asset Removal/Installation Events from MMS to O&amp;M</x:v>
      </x:c>
      <x:c r="C23" s="313" t="str">
        <x:v>Public source text inspected</x:v>
      </x:c>
      <x:c r="D23" s="313" t="str">
        <x:v>Public scenario; rights for dependent schemas and implementations pending</x:v>
      </x:c>
      <x:c r="E23" s="313" t="str">
        <x:v>Not fully assessed</x:v>
      </x:c>
      <x:c r="F23" s="313" t="str">
        <x:v>Implementation / patent clearance not established</x:v>
      </x:c>
      <x:c r="G23" s="313" t="str">
        <x:v>Document-level inspection; no executable artifact tested</x:v>
      </x:c>
      <x:c r="H23" s="313" t="str">
        <x:v>Responsible body recorded; participation and change-control terms not fully assessed</x:v>
      </x:c>
      <x:c r="I23" s="313" t="str">
        <x:v>Identify exactly what would be referenced, copied, modified, redistributed, or implemented before a targeted rights review.</x:v>
      </x:c>
      <x:c r="J23" s="313" t="str">
        <x:v>https://www.mimosa.org/open-industrial-interoperability-ecosystem-oiie/oiie-use-cases/oiie-scenario-11-publish-asset-removalinstallation-events-from-mms-to-om/</x:v>
      </x:c>
    </x:row>
    <x:row r="24" ht="74" hidden="0" customHeight="1">
      <x:c r="A24" s="309" t="str">
        <x:v>S19</x:v>
      </x:c>
      <x:c r="B24" s="310" t="str">
        <x:v>MIP Information Model 4.0 – Semantic Interoperability in Multinational Missions</x:v>
      </x:c>
      <x:c r="C24" s="310" t="str">
        <x:v>Public source text inspected</x:v>
      </x:c>
      <x:c r="D24" s="310" t="str">
        <x:v>Public paper; model/tool license and current release rights require separate inspection</x:v>
      </x:c>
      <x:c r="E24" s="310" t="str">
        <x:v>Not fully assessed</x:v>
      </x:c>
      <x:c r="F24" s="310" t="str">
        <x:v>Implementation / patent clearance not established</x:v>
      </x:c>
      <x:c r="G24" s="310" t="str">
        <x:v>Document-level inspection; no executable artifact tested</x:v>
      </x:c>
      <x:c r="H24" s="310" t="str">
        <x:v>Responsible body recorded; participation and change-control terms not fully assessed</x:v>
      </x:c>
      <x:c r="I24" s="310" t="str">
        <x:v>Identify exactly what would be referenced, copied, modified, redistributed, or implemented before a targeted rights review.</x:v>
      </x:c>
      <x:c r="J24" s="310" t="str">
        <x:v>https://dodccrp-testorg.squarespace.com/s/paper_51.pdf</x:v>
      </x:c>
    </x:row>
    <x:row r="25" ht="74" hidden="0" customHeight="1">
      <x:c r="A25" s="312" t="str">
        <x:v>S20</x:v>
      </x:c>
      <x:c r="B25" s="313" t="str">
        <x:v>Semantically Enhancing SensorML with Controlled Vocabularies in the Marine Domain</x:v>
      </x:c>
      <x:c r="C25" s="313" t="str">
        <x:v>Public source text inspected</x:v>
      </x:c>
      <x:c r="D25" s="313" t="str">
        <x:v>Proceedings allow private/academic copying; vocabulary and code rights need separate verification</x:v>
      </x:c>
      <x:c r="E25" s="313" t="str">
        <x:v>Not fully assessed</x:v>
      </x:c>
      <x:c r="F25" s="313" t="str">
        <x:v>Implementation / patent clearance not established</x:v>
      </x:c>
      <x:c r="G25" s="313" t="str">
        <x:v>Paper describes authoring/discovery experience; not replicated</x:v>
      </x:c>
      <x:c r="H25" s="313" t="str">
        <x:v>Responsible body recorded; participation and change-control terms not fully assessed</x:v>
      </x:c>
      <x:c r="I25" s="313" t="str">
        <x:v>Identify exactly what would be referenced, copied, modified, redistributed, or implemented before a targeted rights review.</x:v>
      </x:c>
      <x:c r="J25" s="313" t="str">
        <x:v>https://ceur-ws.org/Vol-1762/Kokkinaki.pdf</x:v>
      </x:c>
    </x:row>
    <x:row r="26" ht="74" hidden="0" customHeight="1">
      <x:c r="A26" s="309" t="str">
        <x:v>S21</x:v>
      </x:c>
      <x:c r="B26" s="310" t="str">
        <x:v>Marine Profiles of the OGC Sensor Web Enablement Standards</x:v>
      </x:c>
      <x:c r="C26" s="310" t="str">
        <x:v>Public source text inspected</x:v>
      </x:c>
      <x:c r="D26" s="310" t="str">
        <x:v>Public community documentation; exact redistribution terms and current maintenance status pending</x:v>
      </x:c>
      <x:c r="E26" s="310" t="str">
        <x:v>Not fully assessed</x:v>
      </x:c>
      <x:c r="F26" s="310" t="str">
        <x:v>Implementation / patent clearance not established</x:v>
      </x:c>
      <x:c r="G26" s="310" t="str">
        <x:v>Repository SensorML chapter inspected directly (blob 6eb1b4299057e1ded5ad71d60f43bee84173a81e).</x:v>
      </x:c>
      <x:c r="H26" s="310" t="str">
        <x:v>Documented multi-project marine community; current service commitments not established.</x:v>
      </x:c>
      <x:c r="I26" s="310" t="str">
        <x:v>Pin the selected content and establish reuse terms before republishing a modernized agreement.</x:v>
      </x:c>
      <x:c r="J26" s="310" t="str">
        <x:v>https://odip.github.io/MarineProfilesForSWE/</x:v>
      </x:c>
    </x:row>
    <x:row r="27" ht="74" hidden="0" customHeight="1">
      <x:c r="A27" s="312" t="str">
        <x:v>S22</x:v>
      </x:c>
      <x:c r="B27" s="313" t="str">
        <x:v>The Profiles Vocabulary</x:v>
      </x:c>
      <x:c r="C27" s="313" t="str">
        <x:v>Public source text inspected</x:v>
      </x:c>
      <x:c r="D27" s="313" t="str">
        <x:v>Public W3C Note; permissive document-license notice; not a Recommendation</x:v>
      </x:c>
      <x:c r="E27" s="313" t="str">
        <x:v>Not fully assessed</x:v>
      </x:c>
      <x:c r="F27" s="313" t="str">
        <x:v>Implementation / patent clearance not established</x:v>
      </x:c>
      <x:c r="G27" s="313" t="str">
        <x:v>Vocabulary documentation inspected; no RDF implementation</x:v>
      </x:c>
      <x:c r="H27" s="313" t="str">
        <x:v>Responsible body recorded; participation and change-control terms not fully assessed</x:v>
      </x:c>
      <x:c r="I27" s="313" t="str">
        <x:v>Identify exactly what would be referenced, copied, modified, redistributed, or implemented before a targeted rights review.</x:v>
      </x:c>
      <x:c r="J27" s="313" t="str">
        <x:v>https://www.w3.org/TR/2019/NOTE-dx-prof-20191218/</x:v>
      </x:c>
    </x:row>
    <x:row r="28" ht="74" hidden="0" customHeight="1">
      <x:c r="A28" s="309" t="str">
        <x:v>S23</x:v>
      </x:c>
      <x:c r="B28" s="310" t="str">
        <x:v>Data Strategy for the Alliance</x:v>
      </x:c>
      <x:c r="C28" s="310" t="str">
        <x:v>Public source text inspected</x:v>
      </x:c>
      <x:c r="D28" s="310" t="str">
        <x:v>Public policy text; not a technical specification or field-level binding</x:v>
      </x:c>
      <x:c r="E28" s="310" t="str">
        <x:v>Not fully assessed</x:v>
      </x:c>
      <x:c r="F28" s="310" t="str">
        <x:v>Implementation / patent clearance not established</x:v>
      </x:c>
      <x:c r="G28" s="310" t="str">
        <x:v>Document-level inspection; no executable artifact tested</x:v>
      </x:c>
      <x:c r="H28" s="310" t="str">
        <x:v>Responsible body recorded; participation and change-control terms not fully assessed</x:v>
      </x:c>
      <x:c r="I28" s="310" t="str">
        <x:v>Identify exactly what would be referenced, copied, modified, redistributed, or implemented before a targeted rights review.</x:v>
      </x:c>
      <x:c r="J28" s="310" t="str">
        <x:v>https://www.nato.int/en/about-us/official-texts-and-resources/official-texts/2025/05/05/data-strategy-for-the-alliance</x:v>
      </x:c>
    </x:row>
    <x:row r="29" ht="74" hidden="0" customHeight="1">
      <x:c r="A29" s="312" t="str">
        <x:v>S24</x:v>
      </x:c>
      <x:c r="B29" s="313" t="str">
        <x:v>NATO Core Data Framework (NCDF): ADatP-5653 (Study), Edition A, Version 1</x:v>
      </x:c>
      <x:c r="C29" s="313" t="str">
        <x:v>Public source text inspected</x:v>
      </x:c>
      <x:c r="D29" s="313" t="str">
        <x:v>Public catalog record; full technical publication and current promulgation not verified</x:v>
      </x:c>
      <x:c r="E29" s="313" t="str">
        <x:v>Not fully assessed</x:v>
      </x:c>
      <x:c r="F29" s="313" t="str">
        <x:v>Implementation / patent clearance not established</x:v>
      </x:c>
      <x:c r="G29" s="313" t="str">
        <x:v>Document-level inspection; no executable artifact tested</x:v>
      </x:c>
      <x:c r="H29" s="313" t="str">
        <x:v>Responsible body recorded; participation and change-control terms not fully assessed</x:v>
      </x:c>
      <x:c r="I29" s="313" t="str">
        <x:v>Identify exactly what would be referenced, copied, modified, redistributed, or implemented before a targeted rights review.</x:v>
      </x:c>
      <x:c r="J29" s="313" t="str">
        <x:v>https://nisp.nw3.dk/standard/nato-adatp5653-ed.a-v1.html</x:v>
      </x:c>
    </x:row>
    <x:row r="30" ht="74" hidden="0" customHeight="1">
      <x:c r="A30" s="309" t="str">
        <x:v>S25</x:v>
      </x:c>
      <x:c r="B30" s="310" t="str">
        <x:v>StandardsReport_20261010T134742.352 GMT.xlsx(1).csv</x:v>
      </x:c>
      <x:c r="C30" s="310" t="str">
        <x:v>User-supplied export</x:v>
      </x:c>
      <x:c r="D30" s="310" t="str">
        <x:v>Private supplied artifact; no publication or redistribution permission inferred</x:v>
      </x:c>
      <x:c r="E30" s="310" t="str">
        <x:v>Not fully assessed</x:v>
      </x:c>
      <x:c r="F30" s="310" t="str">
        <x:v>Implementation / patent clearance not established</x:v>
      </x:c>
      <x:c r="G30" s="310" t="str">
        <x:v>Selected CSV records read; raw copy unavailable</x:v>
      </x:c>
      <x:c r="H30" s="310" t="str">
        <x:v>Responsible body recorded; participation and change-control terms not fully assessed</x:v>
      </x:c>
      <x:c r="I30" s="310" t="str">
        <x:v>Identify exactly what would be referenced, copied, modified, redistributed, or implemented before a targeted rights review.</x:v>
      </x:c>
      <x:c r="J30" s="310" t="str">
        <x:v>Project source L7; no public URL</x:v>
      </x:c>
    </x:row>
    <x:row r="31" ht="74" hidden="0" customHeight="1">
      <x:c r="A31" s="312" t="str">
        <x:v>S26</x:v>
      </x:c>
      <x:c r="B31" s="313" t="str">
        <x:v>Multilateral Interoperability Programme</x:v>
      </x:c>
      <x:c r="C31" s="313" t="str">
        <x:v>Public source text inspected</x:v>
      </x:c>
      <x:c r="D31" s="313" t="str">
        <x:v>Public vendor page; claims not independently tested</x:v>
      </x:c>
      <x:c r="E31" s="313" t="str">
        <x:v>Not fully assessed</x:v>
      </x:c>
      <x:c r="F31" s="313" t="str">
        <x:v>Implementation / patent clearance not established</x:v>
      </x:c>
      <x:c r="G31" s="313" t="str">
        <x:v>Document-level inspection; no executable artifact tested</x:v>
      </x:c>
      <x:c r="H31" s="313" t="str">
        <x:v>Responsible body recorded; participation and change-control terms not fully assessed</x:v>
      </x:c>
      <x:c r="I31" s="313" t="str">
        <x:v>Identify exactly what would be referenced, copied, modified, redistributed, or implemented before a targeted rights review.</x:v>
      </x:c>
      <x:c r="J31" s="313" t="str">
        <x:v>https://systematic.com/int/industries/defence/products/domains/interoperability/mip/</x:v>
      </x:c>
    </x:row>
    <x:row r="32" ht="74" hidden="0" customHeight="1">
      <x:c r="A32" s="309" t="str">
        <x:v>S27</x:v>
      </x:c>
      <x:c r="B32" s="310" t="str">
        <x:v>Welcome to MIM World!</x:v>
      </x:c>
      <x:c r="C32" s="310" t="str">
        <x:v>Public source text inspected</x:v>
      </x:c>
      <x:c r="D32" s="310" t="str">
        <x:v>Public landing page; some linked material requires an account</x:v>
      </x:c>
      <x:c r="E32" s="310" t="str">
        <x:v>Not fully assessed</x:v>
      </x:c>
      <x:c r="F32" s="310" t="str">
        <x:v>Implementation / patent clearance not established</x:v>
      </x:c>
      <x:c r="G32" s="310" t="str">
        <x:v>Portal catalog inspected; full model not read</x:v>
      </x:c>
      <x:c r="H32" s="310" t="str">
        <x:v>Responsible body recorded; participation and change-control terms not fully assessed</x:v>
      </x:c>
      <x:c r="I32" s="310" t="str">
        <x:v>Identify exactly what would be referenced, copied, modified, redistributed, or implemented before a targeted rights review.</x:v>
      </x:c>
      <x:c r="J32" s="310" t="str">
        <x:v>https://www.mimworld.org/portal/projects/welcome/wiki/Welcome</x:v>
      </x:c>
    </x:row>
    <x:row r="33" ht="74" hidden="0" customHeight="1">
      <x:c r="A33" s="312" t="str">
        <x:v>S28</x:v>
      </x:c>
      <x:c r="B33" s="313" t="str">
        <x:v>The Specification Model—A Standard for Modular Specifications</x:v>
      </x:c>
      <x:c r="C33" s="313" t="str">
        <x:v>Selected public text inspected</x:v>
      </x:c>
      <x:c r="D33" s="313" t="str">
        <x:v>Access does not establish permission to reproduce an entire specification</x:v>
      </x:c>
      <x:c r="E33" s="313" t="str">
        <x:v>No schema or definition redistribution clearance inferred</x:v>
      </x:c>
      <x:c r="F33" s="313" t="str">
        <x:v>Not an implementation or patent clearance</x:v>
      </x:c>
      <x:c r="G33" s="313" t="str">
        <x:v>§4.16; §§6.4–6.5; requirements12,18,19,23–26</x:v>
      </x:c>
      <x:c r="H33" s="313" t="str">
        <x:v>Responsible organization identified; current submission routing requires verification</x:v>
      </x:c>
      <x:c r="I33" s="313" t="str">
        <x:v>Verify reuse terms and current procedure for the actual artifact, not the whole organization</x:v>
      </x:c>
      <x:c r="J33" s="313" t="str">
        <x:v>https://docs.ogc.org/pol/08-131r3/08-131r3.pdf</x:v>
      </x:c>
    </x:row>
    <x:row r="34" ht="74" hidden="0" customHeight="1">
      <x:c r="A34" s="309" t="str">
        <x:v>S29</x:v>
      </x:c>
      <x:c r="B34" s="310" t="str">
        <x:v>DoD Information Technology Standards Registry (DISR)</x:v>
      </x:c>
      <x:c r="C34" s="310" t="str">
        <x:v>Official indexed excerpt only; full access blocked</x:v>
      </x:c>
      <x:c r="D34" s="310" t="str">
        <x:v>Access does not establish permission to reproduce an entire specification</x:v>
      </x:c>
      <x:c r="E34" s="310" t="str">
        <x:v>No schema or definition redistribution clearance inferred</x:v>
      </x:c>
      <x:c r="F34" s="310" t="str">
        <x:v>Not an implementation or patent clearance</x:v>
      </x:c>
      <x:c r="G34" s="310" t="str">
        <x:v>Indexed status definitions; full page returned403</x:v>
      </x:c>
      <x:c r="H34" s="310" t="str">
        <x:v>Responsible organization identified; current submission routing requires verification</x:v>
      </x:c>
      <x:c r="I34" s="310" t="str">
        <x:v>Verify reuse terms and current procedure for the actual artifact, not the whole organization</x:v>
      </x:c>
      <x:c r="J34" s="310" t="str">
        <x:v>https://www.dsp.dla.mil/specs-standards/list-of-disr-documents/</x:v>
      </x:c>
    </x:row>
    <x:row r="35" ht="74" hidden="0" customHeight="1">
      <x:c r="A35" s="312" t="str">
        <x:v>S30</x:v>
      </x:c>
      <x:c r="B35" s="313" t="str">
        <x:v>Information Technology Standards in the DoD</x:v>
      </x:c>
      <x:c r="C35" s="313" t="str">
        <x:v>Official indexed excerpt only; full access blocked</x:v>
      </x:c>
      <x:c r="D35" s="313" t="str">
        <x:v>Access does not establish permission to reproduce an entire specification</x:v>
      </x:c>
      <x:c r="E35" s="313" t="str">
        <x:v>No schema or definition redistribution clearance inferred</x:v>
      </x:c>
      <x:c r="F35" s="313" t="str">
        <x:v>Not an implementation or patent clearance</x:v>
      </x:c>
      <x:c r="G35" s="313" t="str">
        <x:v>Official issuance index and search metadata; PDF access403</x:v>
      </x:c>
      <x:c r="H35" s="313" t="str">
        <x:v>Responsible organization identified; current submission routing requires verification</x:v>
      </x:c>
      <x:c r="I35" s="313" t="str">
        <x:v>Verify reuse terms and current procedure for the actual artifact, not the whole organization</x:v>
      </x:c>
      <x:c r="J35" s="313" t="str">
        <x:v>https://www.esd.whs.mil/portals/54/documents/dd/issuances/dodi/831001p.pdf</x:v>
      </x:c>
    </x:row>
    <x:row r="36" ht="74" hidden="0" customHeight="1">
      <x:c r="A36" s="309" t="str">
        <x:v>S31</x:v>
      </x:c>
      <x:c r="B36" s="310" t="str">
        <x:v>NATO Interoperability Standards and Profiles. Volume 1: Introduction and Management</x:v>
      </x:c>
      <x:c r="C36" s="310" t="str">
        <x:v>Selected public text inspected</x:v>
      </x:c>
      <x:c r="D36" s="310" t="str">
        <x:v>Access does not establish permission to reproduce an entire specification</x:v>
      </x:c>
      <x:c r="E36" s="310" t="str">
        <x:v>No schema or definition redistribution clearance inferred</x:v>
      </x:c>
      <x:c r="F36" s="310" t="str">
        <x:v>Not an implementation or patent clearance</x:v>
      </x:c>
      <x:c r="G36" s="310" t="str">
        <x:v>Chapter1; Chapter5¶¶41–55; AppendixA¶¶65–67</x:v>
      </x:c>
      <x:c r="H36" s="310" t="str">
        <x:v>Responsible organization identified; current submission routing requires verification</x:v>
      </x:c>
      <x:c r="I36" s="310" t="str">
        <x:v>Verify reuse terms and current procedure for the actual artifact, not the whole organization</x:v>
      </x:c>
      <x:c r="J36" s="310" t="str">
        <x:v>https://archive.nisp.nw3.dk/nisp-15.0/volume1/ch01.html</x:v>
      </x:c>
    </x:row>
    <x:row r="37" ht="74" hidden="0" customHeight="1">
      <x:c r="A37" s="312" t="str">
        <x:v>S32</x:v>
      </x:c>
      <x:c r="B37" s="313" t="str">
        <x:v>STANAG 4789 JCGISR (Edition 1) (Ratification Draft 1)—Sensor Integration Standard for NATO JISR Operations—AEP-4789, Edition A</x:v>
      </x:c>
      <x:c r="C37" s="313" t="str">
        <x:v>Supplied NSO letter and covering agreement</x:v>
      </x:c>
      <x:c r="D37" s="313" t="str">
        <x:v>Access does not establish permission to reproduce an entire specification</x:v>
      </x:c>
      <x:c r="E37" s="313" t="str">
        <x:v>No schema or definition redistribution clearance inferred</x:v>
      </x:c>
      <x:c r="F37" s="313" t="str">
        <x:v>Not an implementation or patent clearance</x:v>
      </x:c>
      <x:c r="G37" s="313" t="str">
        <x:v>Cover letter; covering agreement “Interoperability Requirements”; no fresh AEPVolumeII text</x:v>
      </x:c>
      <x:c r="H37" s="313" t="str">
        <x:v>Responsible organization identified; current submission routing requires verification</x:v>
      </x:c>
      <x:c r="I37" s="313" t="str">
        <x:v>Verify reuse terms and current procedure for the actual artifact, not the whole organization</x:v>
      </x:c>
      <x:c r="J37" s="313"/>
    </x:row>
    <x:row r="38" ht="74" hidden="0" customHeight="1">
      <x:c r="A38" s="309" t="str">
        <x:v>S33</x:v>
      </x:c>
      <x:c r="B38" s="310" t="str">
        <x:v>OWS-6 SensorML Profile for Discovery</x:v>
      </x:c>
      <x:c r="C38" s="310" t="str">
        <x:v>Publisher PDF publicly accessible</x:v>
      </x:c>
      <x:c r="D38" s="310" t="str">
        <x:v>Engineering Report; cover cautions against required procurement use</x:v>
      </x:c>
      <x:c r="E38" s="310" t="str">
        <x:v>No blanket redistribution/reuse clearance established</x:v>
      </x:c>
      <x:c r="F38" s="310" t="str">
        <x:v>No native implementation selected; no patent clearance asserted</x:v>
      </x:c>
      <x:c r="G38" s="310" t="str">
        <x:v>Printed Schematron predicates studied; full suite not validated</x:v>
      </x:c>
      <x:c r="H38" s="310" t="str">
        <x:v>OGC publication; current maintenance/clarification route to be confirmed</x:v>
      </x:c>
      <x:c r="I38" s="310" t="str">
        <x:v>Clarify rights only for artifacts actually proposed for reuse</x:v>
      </x:c>
      <x:c r="J38" s="310" t="str">
        <x:v>https://docs.ogc.org/per/09-033/09-033.pdf</x:v>
      </x:c>
    </x:row>
    <x:row r="39" ht="74" hidden="0" customHeight="1">
      <x:c r="A39" s="312" t="str">
        <x:v>S34</x:v>
      </x:c>
      <x:c r="B39" s="313" t="str">
        <x:v>SensorML profile and mapping into a CSW-ebRIM catalogue</x:v>
      </x:c>
      <x:c r="C39" s="313" t="str">
        <x:v>Publisher PDF publicly accessible</x:v>
      </x:c>
      <x:c r="D39" s="313" t="str">
        <x:v>Discussion Paper; not an adopted standard</x:v>
      </x:c>
      <x:c r="E39" s="313" t="str">
        <x:v>No blanket redistribution/reuse clearance established</x:v>
      </x:c>
      <x:c r="F39" s="313" t="str">
        <x:v>No native implementation selected; no patent clearance asserted</x:v>
      </x:c>
      <x:c r="G39" s="313" t="str">
        <x:v>Profile rules and mapping tables; no catalogue tested</x:v>
      </x:c>
      <x:c r="H39" s="313" t="str">
        <x:v>OGC publication; current maintenance/clarification route to be confirmed</x:v>
      </x:c>
      <x:c r="I39" s="313" t="str">
        <x:v>Clarify rights only for artifacts actually proposed for reuse</x:v>
      </x:c>
      <x:c r="J39" s="313" t="str">
        <x:v>https://docs.ogc.org/dp/09-163r2/09-163r2.pdf</x:v>
      </x:c>
    </x:row>
    <x:row r="40" ht="75" customHeight="1">
      <x:c r="A40" s="309" t="str">
        <x:v>S35</x:v>
      </x:c>
      <x:c r="B40" s="310" t="str">
        <x:v>CCOM UML Class Model</x:v>
      </x:c>
      <x:c r="C40" s="310" t="str">
        <x:v>Public primary source inspected</x:v>
      </x:c>
      <x:c r="D40" s="310" t="str">
        <x:v>Public model and documentation. Model-copying notice and MIMOSA License Agreement are different artifacts; redistribution/derivative terms require an artifact-specific decision.</x:v>
      </x:c>
      <x:c r="E40" s="310" t="str">
        <x:v>Separate artifact and referenced-dictionary decision needed for copying/redistribution.</x:v>
      </x:c>
      <x:c r="F40" s="310" t="str">
        <x:v>No broad patent or legal clearance asserted.</x:v>
      </x:c>
      <x:c r="G40" s="310" t="str">
        <x:v>Detailed model diagrams inspected; release candidate, not the DISR-listed OSA-EAI edition</x:v>
      </x:c>
      <x:c r="H40" s="310" t="str">
        <x:v>MIMOSA</x:v>
      </x:c>
      <x:c r="I40" s="310" t="str">
        <x:v>Identify exactly what would be redistributed or normatively required before adoption.</x:v>
      </x:c>
      <x:c r="J40" s="310" t="str">
        <x:v>https://www.mimosa.org/wp-content/uploads/specifications/2019/12/ccom-4-1-0-rc1/CCOM-UML-Class-Model-4.1.0-RC1.pdf</x:v>
      </x:c>
    </x:row>
    <x:row r="41" ht="74" customHeight="1">
      <x:c r="A41" s="312" t="str">
        <x:v>S36</x:v>
      </x:c>
      <x:c r="B41" s="313" t="str">
        <x:v>Generic Frame for Technical Data for Industrial Equipment in Manufacturing</x:v>
      </x:c>
      <x:c r="C41" s="313" t="str">
        <x:v>Public primary source inspected</x:v>
      </x:c>
      <x:c r="D41" s="313" t="str">
        <x:v>Public PDF and JSON artifacts; referenced ECLASS/IEC dictionaries retain separate terms. No blanket rights clearance inferred.</x:v>
      </x:c>
      <x:c r="E41" s="313" t="str">
        <x:v>Separate artifact and referenced-dictionary decision needed for copying/redistribution.</x:v>
      </x:c>
      <x:c r="F41" s="313" t="str">
        <x:v>No broad patent or legal clearance asserted.</x:v>
      </x:c>
      <x:c r="G41" s="313" t="str">
        <x:v>Published template text and selected machine-readable structure; no instance execution</x:v>
      </x:c>
      <x:c r="H41" s="313" t="str">
        <x:v>Industrial Digital Twin Association</x:v>
      </x:c>
      <x:c r="I41" s="313" t="str">
        <x:v>Identify exactly what would be redistributed or normatively required before adoption.</x:v>
      </x:c>
      <x:c r="J41" s="313" t="str">
        <x:v>https://industrialdigitaltwin.org/en/wp-content/uploads/sites/2/2025/03/IDTA-02003_Generic-Frame-for-Technical-Data.pdf</x:v>
      </x:c>
    </x:row>
    <x:row r="42" ht="74" customHeight="1">
      <x:c r="A42" s="309" t="str">
        <x:v>S37</x:v>
      </x:c>
      <x:c r="B42" s="310" t="str">
        <x:v>Hierarchical Structures enabling Bills of Material</x:v>
      </x:c>
      <x:c r="C42" s="310" t="str">
        <x:v>Public primary source inspected</x:v>
      </x:c>
      <x:c r="D42" s="310" t="str">
        <x:v>Public specification; native references depend on accessible associated artifacts; no independent dictionary or patent clearance claimed.</x:v>
      </x:c>
      <x:c r="E42" s="310" t="str">
        <x:v>Separate artifact and referenced-dictionary decision needed for copying/redistribution.</x:v>
      </x:c>
      <x:c r="F42" s="310" t="str">
        <x:v>No broad patent or legal clearance asserted.</x:v>
      </x:c>
      <x:c r="G42" s="310" t="str">
        <x:v>Published template, selected normative and design clauses</x:v>
      </x:c>
      <x:c r="H42" s="310" t="str">
        <x:v>Industrial Digital Twin Association</x:v>
      </x:c>
      <x:c r="I42" s="310" t="str">
        <x:v>Identify exactly what would be redistributed or normatively required before adoption.</x:v>
      </x:c>
      <x:c r="J42" s="310" t="str">
        <x:v>https://industrialdigitaltwin.org/en/wp-content/uploads/sites/2/2024/06/IDTA-02011-1-1_Submodel_HierarchicalStructuresEnablingBoM.pdf</x:v>
      </x:c>
    </x:row>
    <x:row r="43" ht="74" customHeight="1">
      <x:c r="A43" s="312" t="str">
        <x:v>S38</x:v>
      </x:c>
      <x:c r="B43" s="313" t="str">
        <x:v>Hierarchical Structures enabling Bills of Material – Extension based on IEC 81346</x:v>
      </x:c>
      <x:c r="C43" s="313" t="str">
        <x:v>Public primary source inspected</x:v>
      </x:c>
      <x:c r="D43" s="313" t="str">
        <x:v>Public IDTA specification; embedded IEC material bears its own notice. Do not assume permission to redistribute or modify underlying IEC content.</x:v>
      </x:c>
      <x:c r="E43" s="313" t="str">
        <x:v>Separate artifact and referenced-dictionary decision needed for copying/redistribution.</x:v>
      </x:c>
      <x:c r="F43" s="313" t="str">
        <x:v>No broad patent or legal clearance asserted.</x:v>
      </x:c>
      <x:c r="G43" s="313" t="str">
        <x:v>Published extension; underlying IEC publication not independently read</x:v>
      </x:c>
      <x:c r="H43" s="313" t="str">
        <x:v>Industrial Digital Twin Association</x:v>
      </x:c>
      <x:c r="I43" s="313" t="str">
        <x:v>Identify exactly what would be redistributed or normatively required before adoption.</x:v>
      </x:c>
      <x:c r="J43" s="313" t="str">
        <x:v>https://industrialdigitaltwin.org/en/wp-content/uploads/sites/2/2025/08/IDTA-02011-1-Hierarchical-Structures-enabling-Bills-of-Material_Extension-based-on-IEC-81346.pdf</x:v>
      </x:c>
    </x:row>
    <x:row r="44" ht="74" customHeight="1">
      <x:c r="A44" s="309" t="str">
        <x:v>S39</x:v>
      </x:c>
      <x:c r="B44" s="310" t="str">
        <x:v>Capability Description</x:v>
      </x:c>
      <x:c r="C44" s="310" t="str">
        <x:v>Public primary source inspected</x:v>
      </x:c>
      <x:c r="D44" s="310" t="str">
        <x:v>Public PDF and publisher artifacts. External capability/property definitions and inherited specifications need their own rights treatment.</x:v>
      </x:c>
      <x:c r="E44" s="310" t="str">
        <x:v>Separate artifact and referenced-dictionary decision needed for copying/redistribution.</x:v>
      </x:c>
      <x:c r="F44" s="310" t="str">
        <x:v>No broad patent or legal clearance asserted.</x:v>
      </x:c>
      <x:c r="G44" s="310" t="str">
        <x:v>Published template; actual required/offered role and realization structure inspected</x:v>
      </x:c>
      <x:c r="H44" s="310" t="str">
        <x:v>Industrial Digital Twin Association</x:v>
      </x:c>
      <x:c r="I44" s="310" t="str">
        <x:v>Identify exactly what would be redistributed or normatively required before adoption.</x:v>
      </x:c>
      <x:c r="J44" s="310" t="str">
        <x:v>https://industrialdigitaltwin.org/en/wp-content/uploads/sites/2/2026/04/IDTA-02020_Submodel_Capability_Description.pdf</x:v>
      </x:c>
    </x:row>
    <x:row r="45" ht="74" customHeight="1">
      <x:c r="A45" s="304" t="str">
        <x:v>S40</x:v>
      </x:c>
      <x:c r="B45" s="304" t="str">
        <x:v>Sentinel 1.0.7.2 Software Users Manual: selected ETU-II pages</x:v>
      </x:c>
      <x:c r="C45" s="304" t="str">
        <x:v>User-supplied excerpts</x:v>
      </x:c>
      <x:c r="D45" s="304" t="str">
        <x:v>Inspected excerpts; no blanket redistribution grant inferred</x:v>
      </x:c>
      <x:c r="E45" s="304" t="str">
        <x:v>Facts analyzed; no schema or proprietary manual reproduced</x:v>
      </x:c>
      <x:c r="F45" s="304" t="str">
        <x:v>No hardware/protocol implementation or patent clearance assessed</x:v>
      </x:c>
      <x:c r="G45" s="304" t="str">
        <x:v>Selected manual pages / datasheet</x:v>
      </x:c>
      <x:c r="H45" s="304" t="str">
        <x:v>Publisher or source owner; not an open standards process</x:v>
      </x:c>
      <x:c r="I45" s="304" t="str">
        <x:v>Confirm applicable rights before redistributing original source material</x:v>
      </x:c>
      <x:c r="J45" s="304" t="str">
        <x:v>Library locator: libfile_cbd2e80dc0e081918022604ef8d45f2e; TRSS Details View Research.pptx, slides 10–12</x:v>
      </x:c>
    </x:row>
    <x:row r="46" ht="74" customHeight="1">
      <x:c r="A46" s="304" t="str">
        <x:v>S41</x:v>
      </x:c>
      <x:c r="B46" s="304" t="str">
        <x:v>OmniSense CORE configuration and transducer reporting: selected manual pages</x:v>
      </x:c>
      <x:c r="C46" s="304" t="str">
        <x:v>User-supplied excerpts</x:v>
      </x:c>
      <x:c r="D46" s="304" t="str">
        <x:v>Inspected excerpts; no blanket redistribution grant inferred</x:v>
      </x:c>
      <x:c r="E46" s="304" t="str">
        <x:v>Facts analyzed; no schema or proprietary manual reproduced</x:v>
      </x:c>
      <x:c r="F46" s="304" t="str">
        <x:v>No hardware/protocol implementation or patent clearance assessed</x:v>
      </x:c>
      <x:c r="G46" s="304" t="str">
        <x:v>Selected manual pages / datasheet</x:v>
      </x:c>
      <x:c r="H46" s="304" t="str">
        <x:v>Publisher or source owner; not an open standards process</x:v>
      </x:c>
      <x:c r="I46" s="304" t="str">
        <x:v>Confirm applicable rights before redistributing original source material</x:v>
      </x:c>
      <x:c r="J46" s="304" t="str">
        <x:v>Library locator: libfile_7b30d4a27a44819194bef90e7c7aece4; SADU Details View Research.pptx, slides 1–7</x:v>
      </x:c>
    </x:row>
    <x:row r="47" ht="74" customHeight="1">
      <x:c r="A47" s="304" t="str">
        <x:v>S42</x:v>
      </x:c>
      <x:c r="B47" s="304" t="str">
        <x:v>Bosch BME280: environmental-model contrast</x:v>
      </x:c>
      <x:c r="C47" s="304" t="str">
        <x:v>Public manufacturer PDF</x:v>
      </x:c>
      <x:c r="D47" s="304" t="str">
        <x:v>Inspected excerpts; no blanket redistribution grant inferred</x:v>
      </x:c>
      <x:c r="E47" s="304" t="str">
        <x:v>Facts analyzed; no schema or proprietary manual reproduced</x:v>
      </x:c>
      <x:c r="F47" s="304" t="str">
        <x:v>No hardware/protocol implementation or patent clearance assessed</x:v>
      </x:c>
      <x:c r="G47" s="304" t="str">
        <x:v>Selected manual pages / datasheet</x:v>
      </x:c>
      <x:c r="H47" s="304" t="str">
        <x:v>Publisher or source owner; not an open standards process</x:v>
      </x:c>
      <x:c r="I47" s="304" t="str">
        <x:v>Confirm applicable rights before redistributing original source material</x:v>
      </x:c>
      <x:c r="J47" s="304" t="str">
        <x:v>https://www.bosch-sensortec.com/media/boschsensortec/downloads/datasheets/bst-bme280-ds002.pdf</x:v>
      </x:c>
    </x:row>
    <x:row r="48" ht="101" customHeight="1">
      <x:c r="A48" s="315" t="str">
        <x:v>S43</x:v>
      </x:c>
      <x:c r="B48" s="304" t="str">
        <x:v>Common command-and-control user interface for current force UGS</x:v>
      </x:c>
      <x:c r="C48" s="304" t="str">
        <x:v>Record/abstract</x:v>
      </x:c>
      <x:c r="D48" s="304" t="str">
        <x:v>Publication identity and DOI are verified; full-text access remained unavailable. SPIE publication access and reuse rights are not treated as equivalent to an open implementation license. The source is retained at abstract depth, not counted as a complete architecture review.</x:v>
      </x:c>
      <x:c r="E48" s="304" t="str">
        <x:v>Not blanket-cleared; use exact artifact terms</x:v>
      </x:c>
      <x:c r="F48" s="304" t="str">
        <x:v>Not a legal clearance or native implementation selection</x:v>
      </x:c>
      <x:c r="G48" s="304" t="str">
        <x:v>Publisher record and indexed abstract; complete paper not retrieved.</x:v>
      </x:c>
      <x:c r="H48" s="304" t="str">
        <x:v>Originating publisher/community</x:v>
      </x:c>
      <x:c r="I48" s="304" t="str">
        <x:v>Review the exact artifact intended for normative reuse.</x:v>
      </x:c>
      <x:c r="J48" s="304" t="str">
        <x:v>https://doi.org/10.1117/12.822186</x:v>
      </x:c>
    </x:row>
    <x:row r="49" ht="101" customHeight="1">
      <x:c r="A49" s="315" t="str">
        <x:v>S44</x:v>
      </x:c>
      <x:c r="B49" s="304" t="str">
        <x:v>OmniSense unattended ground sensor system</x:v>
      </x:c>
      <x:c r="C49" s="304" t="str">
        <x:v>Record/abstract</x:v>
      </x:c>
      <x:c r="D49" s="304" t="str">
        <x:v>The complete paper was not obtained, and no confidential OEM material was accessed. Public abstract availability does not establish permission to reproduce a proprietary interface. The unresolved questions are limited to the original technical artifacts and their current rights or stewardship.</x:v>
      </x:c>
      <x:c r="E49" s="304" t="str">
        <x:v>Not blanket-cleared; use exact artifact terms</x:v>
      </x:c>
      <x:c r="F49" s="304" t="str">
        <x:v>Not a legal clearance or native implementation selection</x:v>
      </x:c>
      <x:c r="G49" s="304" t="str">
        <x:v>Publication record and indexed abstract; full paper and CDIF specification not retrieved.</x:v>
      </x:c>
      <x:c r="H49" s="304" t="str">
        <x:v>Originating publisher/community</x:v>
      </x:c>
      <x:c r="I49" s="304" t="str">
        <x:v>Review the exact artifact intended for normative reuse.</x:v>
      </x:c>
      <x:c r="J49" s="304" t="str">
        <x:v>https://doi.org/10.1117/12.784540</x:v>
      </x:c>
    </x:row>
    <x:row r="50" ht="88" customHeight="1">
      <x:c r="A50" s="315" t="str">
        <x:v>S45</x:v>
      </x:c>
      <x:c r="B50" s="304" t="str">
        <x:v>The Open Standard for Unattended Sensors (OSUS) as a Platform for the Internet of Things (IOT)</x:v>
      </x:c>
      <x:c r="C50" s="304" t="str">
        <x:v>Record/abstract</x:v>
      </x:c>
      <x:c r="D50" s="304" t="str">
        <x:v>Metadata and abstract are publicly available through the university. The full document’s content and reuse conditions were not independently inspected. No access restriction was circumvented or unpublished chapter content assumed.</x:v>
      </x:c>
      <x:c r="E50" s="304" t="str">
        <x:v>Not blanket-cleared; use exact artifact terms</x:v>
      </x:c>
      <x:c r="F50" s="304" t="str">
        <x:v>Not a legal clearance or native implementation selection</x:v>
      </x:c>
      <x:c r="G50" s="304" t="str">
        <x:v>University record, abstract and linked OhioLINK metadata; full thesis not retrieved.</x:v>
      </x:c>
      <x:c r="H50" s="304" t="str">
        <x:v>Originating publisher/community</x:v>
      </x:c>
      <x:c r="I50" s="304" t="str">
        <x:v>Review the exact artifact intended for normative reuse.</x:v>
      </x:c>
      <x:c r="J50" s="304" t="str">
        <x:v>https://ecommons.udayton.edu/graduate_theses/7186/</x:v>
      </x:c>
    </x:row>
    <x:row r="51" ht="101" customHeight="1">
      <x:c r="A51" s="315" t="str">
        <x:v>S46</x:v>
      </x:c>
      <x:c r="B51" s="304" t="str">
        <x:v>Unattended Ground Sensor Survey</x:v>
      </x:c>
      <x:c r="C51" s="304" t="str">
        <x:v>Public artifact</x:v>
      </x:c>
      <x:c r="D51" s="304" t="str">
        <x:v>The full report is publicly hosted by DSIAC/DTIC and was recovered for reading. Embedded manufacturer figures retain their own provenance and are not copied into this paper. The report’s cover date, not a differing web-post date, is used for the bibliographic description.</x:v>
      </x:c>
      <x:c r="E51" s="304" t="str">
        <x:v>Not blanket-cleared; use exact artifact terms</x:v>
      </x:c>
      <x:c r="F51" s="304" t="str">
        <x:v>Not a legal clearance or native implementation selection</x:v>
      </x:c>
      <x:c r="G51" s="304" t="str">
        <x:v>Full 38-page PDF recovered; scope, §2, TRSS/McQ/Scorpion sections and selected references inspected; figures visually inspected.</x:v>
      </x:c>
      <x:c r="H51" s="304" t="str">
        <x:v>Originating publisher/community</x:v>
      </x:c>
      <x:c r="I51" s="304" t="str">
        <x:v>Review the exact artifact intended for normative reuse.</x:v>
      </x:c>
      <x:c r="J51" s="304" t="str">
        <x:v>https://dsiac.dtic.mil/wp-content/uploads/2018/05/2165849_STI_Document.pdf</x:v>
      </x:c>
    </x:row>
    <x:row r="52" ht="114" customHeight="1">
      <x:c r="A52" s="315" t="str">
        <x:v>S47</x:v>
      </x:c>
      <x:c r="B52" s="304" t="str">
        <x:v>OSUS-R Asset interface and capability model</x:v>
      </x:c>
      <x:c r="C52" s="304" t="str">
        <x:v>Public artifact</x:v>
      </x:c>
      <x:c r="D52" s="304" t="str">
        <x:v>The inspected software files carry a CC0 dedication, and the repository’s version is pinned for reproducibility. That notice does not automatically cover every referenced external specification or a separately distributed standards document. No build, device connection or conformance execution was performed.</x:v>
      </x:c>
      <x:c r="E52" s="304" t="str">
        <x:v>Not blanket-cleared; use exact artifact terms</x:v>
      </x:c>
      <x:c r="F52" s="304" t="str">
        <x:v>Not a legal clearance or native implementation selection</x:v>
      </x:c>
      <x:c r="G52" s="304" t="str">
        <x:v>README; Asset.java introductory interface documentation; AssetCapabilities.xsd selected capability/status/command blocks.</x:v>
      </x:c>
      <x:c r="H52" s="304" t="str">
        <x:v>Originating publisher/community</x:v>
      </x:c>
      <x:c r="I52" s="304" t="str">
        <x:v>Review the exact artifact intended for normative reuse.</x:v>
      </x:c>
      <x:c r="J52" s="304" t="str">
        <x:v>https://github.com/ssg-udri/OSUS-R/blob/d09088fbe56d4b64f0544d72e98c3cb70fa941f6/mil.dod.th.core/src/mil/dod/th/core/asset/Asset.java</x:v>
      </x:c>
    </x:row>
    <x:row r="53" ht="114" customHeight="1">
      <x:c r="A53" s="315" t="str">
        <x:v>S48</x:v>
      </x:c>
      <x:c r="B53" s="304" t="str">
        <x:v>Service-oriented Sensor Data Interoperability for IEEE 1451 Smart Transducers</x:v>
      </x:c>
      <x:c r="C53" s="304" t="str">
        <x:v>Public artifact</x:v>
      </x:c>
      <x:c r="D53" s="304" t="str">
        <x:v>NIST hosts the full paper, which identifies its authors on the first page as Eugene Y. Song and Kang B. Lee. The IEEE publication notice remains visible; public access is not blanket figure-redistribution permission. No experiment was rerun, and the text is used as historical technical evidence.</x:v>
      </x:c>
      <x:c r="E53" s="304" t="str">
        <x:v>Not blanket-cleared; use exact artifact terms</x:v>
      </x:c>
      <x:c r="F53" s="304" t="str">
        <x:v>Not a legal clearance or native implementation selection</x:v>
      </x:c>
      <x:c r="G53" s="304" t="str">
        <x:v>Full six-page paper recovered; §§I, III–V and prototype figures inspected.</x:v>
      </x:c>
      <x:c r="H53" s="304" t="str">
        <x:v>Originating publisher/community</x:v>
      </x:c>
      <x:c r="I53" s="304" t="str">
        <x:v>Review the exact artifact intended for normative reuse.</x:v>
      </x:c>
      <x:c r="J53" s="304" t="str">
        <x:v>https://tsapps.nist.gov/publication/get_pdf.cfm?pub_id=902312</x:v>
      </x:c>
    </x:row>
    <x:row r="54" ht="75" customHeight="1">
      <x:c r="A54" s="315" t="str">
        <x:v>S49</x:v>
      </x:c>
      <x:c r="B54" s="304" t="str">
        <x:v>IoT Device Cybersecurity Capability Core Baseline</x:v>
      </x:c>
      <x:c r="C54" s="304" t="str">
        <x:v>Public artifact</x:v>
      </x:c>
      <x:c r="D54" s="304" t="str">
        <x:v>The public NIST PDF was inspected at the specified sections. This was not a complete device-security assessment or a review of all later NIST publications. The edition is fixed to the cited 2020 report.</x:v>
      </x:c>
      <x:c r="E54" s="304" t="str">
        <x:v>Not blanket-cleared; use exact artifact terms</x:v>
      </x:c>
      <x:c r="F54" s="304" t="str">
        <x:v>Not a legal clearance or native implementation selection</x:v>
      </x:c>
      <x:c r="G54" s="304" t="str">
        <x:v>Full public PDF recovered; introduction and stated scope inspected.</x:v>
      </x:c>
      <x:c r="H54" s="304" t="str">
        <x:v>Originating publisher/community</x:v>
      </x:c>
      <x:c r="I54" s="304" t="str">
        <x:v>Review the exact artifact intended for normative reuse.</x:v>
      </x:c>
      <x:c r="J54" s="304" t="str">
        <x:v>https://nvlpubs.nist.gov/nistpubs/ir/2020/NIST.IR.8259A.pdf</x:v>
      </x:c>
    </x:row>
    <x:row r="55" ht="88" customHeight="1">
      <x:c r="A55" s="315" t="str">
        <x:v>S50</x:v>
      </x:c>
      <x:c r="B55" s="304" t="str">
        <x:v>Terminology for Constrained-Node Networks</x:v>
      </x:c>
      <x:c r="C55" s="304" t="str">
        <x:v>Public artifact</x:v>
      </x:c>
      <x:c r="D55" s="304" t="str">
        <x:v>The complete RFC is publicly inspectable under its published rights notice. Its Informational status and 2014 edition are retained. This increment did not benchmark devices or assign a measured constraint class to the reference cases.</x:v>
      </x:c>
      <x:c r="E55" s="304" t="str">
        <x:v>Not blanket-cleared; use exact artifact terms</x:v>
      </x:c>
      <x:c r="F55" s="304" t="str">
        <x:v>Not a legal clearance or native implementation selection</x:v>
      </x:c>
      <x:c r="G55" s="304" t="str">
        <x:v>Definitions and §§3–4, especially energy limitations and power strategies.</x:v>
      </x:c>
      <x:c r="H55" s="304" t="str">
        <x:v>Originating publisher/community</x:v>
      </x:c>
      <x:c r="I55" s="304" t="str">
        <x:v>Review the exact artifact intended for normative reuse.</x:v>
      </x:c>
      <x:c r="J55" s="304" t="str">
        <x:v>https://www.rfc-editor.org/rfc/rfc7228.html</x:v>
      </x:c>
    </x:row>
    <x:row r="56" ht="88" customHeight="1">
      <x:c r="A56" s="315" t="str">
        <x:v>S51</x:v>
      </x:c>
      <x:c r="B56" s="304" t="str">
        <x:v>SAPIENT autonomous sensor system</x:v>
      </x:c>
      <x:c r="C56" s="304" t="str">
        <x:v>Public artifact</x:v>
      </x:c>
      <x:c r="D56" s="304" t="str">
        <x:v>The official public page and its dated update were inspected. Later changes to SAPIENT or associated standardization are not inferred from this 2024 account. No experimental dataset or unpublished trial documentation was accessed.</x:v>
      </x:c>
      <x:c r="E56" s="304" t="str">
        <x:v>Not blanket-cleared; use exact artifact terms</x:v>
      </x:c>
      <x:c r="F56" s="304" t="str">
        <x:v>Not a legal clearance or native implementation selection</x:v>
      </x:c>
      <x:c r="G56" s="304" t="str">
        <x:v>Official guidance, version history and multinational experimentation account.</x:v>
      </x:c>
      <x:c r="H56" s="304" t="str">
        <x:v>Originating publisher/community</x:v>
      </x:c>
      <x:c r="I56" s="304" t="str">
        <x:v>Review the exact artifact intended for normative reuse.</x:v>
      </x:c>
      <x:c r="J56" s="304" t="str">
        <x:v>https://www.gov.uk/guidance/sapient-autonomous-sensor-system</x:v>
      </x:c>
    </x:row>
    <x:row r="57" ht="127" customHeight="1">
      <x:c r="A57" s="315" t="str">
        <x:v>S52</x:v>
      </x:c>
      <x:c r="B57" s="304" t="str">
        <x:v>Information technology—Sensor networks: Sensor Network Reference Architecture (SNRA)—Part 4: Entity models</x:v>
      </x:c>
      <x:c r="C57" s="304" t="str">
        <x:v>Standard preview</x:v>
      </x:c>
      <x:c r="D57" s="304" t="str">
        <x:v>The official catalog identifies a published International Standard; the inspected preview reproduces only part of its text. ISO/IEC copyright and reuse restrictions remain relevant, and no figures are redistributed here. Full authorized text is needed before adopting unread detailed provisions, not before drawing the limited scope conclusion.</x:v>
      </x:c>
      <x:c r="E57" s="304" t="str">
        <x:v>Not blanket-cleared; use exact artifact terms</x:v>
      </x:c>
      <x:c r="F57" s="304" t="str">
        <x:v>Not a legal clearance or native implementation selection</x:v>
      </x:c>
      <x:c r="G57" s="304" t="str">
        <x:v>Official catalog plus public standard preview: introduction, §5, §6.1.1, Figures 1–2 and Table 1; later detailed clauses not inspected.</x:v>
      </x:c>
      <x:c r="H57" s="304" t="str">
        <x:v>Originating publisher/community</x:v>
      </x:c>
      <x:c r="I57" s="304" t="str">
        <x:v>Review the exact artifact intended for normative reuse.</x:v>
      </x:c>
      <x:c r="J57" s="304" t="str">
        <x:v>https://www.iso.org/standard/57094.html</x:v>
      </x:c>
    </x:row>
    <x:row r="58" ht="74" customHeight="1">
      <x:c r="A58" s="316" t="str">
        <x:v>S53</x:v>
      </x:c>
      <x:c r="B58" s="317" t="str">
        <x:v>The Interfaces Group MIB</x:v>
      </x:c>
      <x:c r="C58" s="317" t="str">
        <x:v>Selected primary publication/schema inspected, as stated</x:v>
      </x:c>
      <x:c r="D58" s="317" t="str">
        <x:v>Exact publisher rights to be checked before copying terms, ontologies, example data or code</x:v>
      </x:c>
      <x:c r="E58" s="317" t="str">
        <x:v>No blanket reuse permission inferred</x:v>
      </x:c>
      <x:c r="F58" s="317" t="str">
        <x:v>No native compliance or patent clearance established</x:v>
      </x:c>
      <x:c r="G58" s="317" t="str">
        <x:v>Selected published RFC clauses and interface model; later profile/ISA comparison</x:v>
      </x:c>
      <x:c r="H58" s="317" t="str">
        <x:v>IETF</x:v>
      </x:c>
      <x:c r="I58" s="317" t="str">
        <x:v>Check publication/encoding redistribution terms only if this exact source is selected; The RFC specifies an SNMP MIB; MERLIN borrows applicable definitions and does not operate an RFC 2863 agent.</x:v>
      </x:c>
      <x:c r="J58" s="317" t="str">
        <x:v>https://www.rfc-editor.org/rfc/rfc2863.html</x:v>
      </x:c>
    </x:row>
    <x:row r="59" ht="74" customHeight="1">
      <x:c r="A59" s="316" t="str">
        <x:v>S54</x:v>
      </x:c>
      <x:c r="B59" s="317" t="str">
        <x:v>A YANG Data Model for Interface Management</x:v>
      </x:c>
      <x:c r="C59" s="317" t="str">
        <x:v>Selected primary publication/schema inspected, as stated</x:v>
      </x:c>
      <x:c r="D59" s="317" t="str">
        <x:v>Exact publisher rights to be checked before copying terms, ontologies, example data or code</x:v>
      </x:c>
      <x:c r="E59" s="317" t="str">
        <x:v>No blanket reuse permission inferred</x:v>
      </x:c>
      <x:c r="F59" s="317" t="str">
        <x:v>No native compliance or patent clearance established</x:v>
      </x:c>
      <x:c r="G59" s="317" t="str">
        <x:v>Published RFC §§2–4 and selected YANG definitions inspected in profile/ISA comparison</x:v>
      </x:c>
      <x:c r="H59" s="317" t="str">
        <x:v>IETF</x:v>
      </x:c>
      <x:c r="I59" s="317" t="str">
        <x:v>Check publication/encoding redistribution terms only if this exact source is selected; RFC 8343 YANG conformance is not achieved by projecting interface facts into a SWE CharacteristicList.</x:v>
      </x:c>
      <x:c r="J59" s="317" t="str">
        <x:v>https://www.rfc-editor.org/rfc/rfc8343.html</x:v>
      </x:c>
    </x:row>
    <x:row r="60" ht="74" customHeight="1">
      <x:c r="A60" s="316" t="str">
        <x:v>S55</x:v>
      </x:c>
      <x:c r="B60" s="317" t="str">
        <x:v>A YANG Data Model for Network Topologies</x:v>
      </x:c>
      <x:c r="C60" s="317" t="str">
        <x:v>Selected primary publication/schema inspected, as stated</x:v>
      </x:c>
      <x:c r="D60" s="317" t="str">
        <x:v>Exact publisher rights to be checked before copying terms, ontologies, example data or code</x:v>
      </x:c>
      <x:c r="E60" s="317" t="str">
        <x:v>No blanket reuse permission inferred</x:v>
      </x:c>
      <x:c r="F60" s="317" t="str">
        <x:v>No native compliance or patent clearance established</x:v>
      </x:c>
      <x:c r="G60" s="317" t="str">
        <x:v>Selected RFC §§4.2–4.4.2 and model definitions inspected during main-profile drafting</x:v>
      </x:c>
      <x:c r="H60" s="317" t="str">
        <x:v>IETF</x:v>
      </x:c>
      <x:c r="I60" s="317" t="str">
        <x:v>Check publication/encoding redistribution terms only if this exact source is selected; A network topology graph is not automatically the physical sensor equipment tree or the CSAPI resource graph.</x:v>
      </x:c>
      <x:c r="J60" s="317" t="str">
        <x:v>https://www.rfc-editor.org/rfc/rfc8345.html</x:v>
      </x:c>
    </x:row>
    <x:row r="61" ht="74" customHeight="1">
      <x:c r="A61" s="316" t="str">
        <x:v>S56</x:v>
      </x:c>
      <x:c r="B61" s="317" t="str">
        <x:v>The profile Link Relation Type</x:v>
      </x:c>
      <x:c r="C61" s="317" t="str">
        <x:v>Selected primary publication/schema inspected, as stated</x:v>
      </x:c>
      <x:c r="D61" s="317" t="str">
        <x:v>Exact publisher rights to be checked before copying terms, ontologies, example data or code</x:v>
      </x:c>
      <x:c r="E61" s="317" t="str">
        <x:v>No blanket reuse permission inferred</x:v>
      </x:c>
      <x:c r="F61" s="317" t="str">
        <x:v>No native compliance or patent clearance established</x:v>
      </x:c>
      <x:c r="G61" s="317" t="str">
        <x:v>Sections 3–5 inspected in main-profile draft and companion design primer</x:v>
      </x:c>
      <x:c r="H61" s="317" t="str">
        <x:v>IETF</x:v>
      </x:c>
      <x:c r="I61" s="317" t="str">
        <x:v>Check publication/encoding redistribution terms only if this exact source is selected; A profile link does not automatically validate content, install an ontology or prove conformance to its target.</x:v>
      </x:c>
      <x:c r="J61" s="317" t="str">
        <x:v>https://www.rfc-editor.org/rfc/rfc6906.html</x:v>
      </x:c>
    </x:row>
    <x:row r="62" ht="74" customHeight="1">
      <x:c r="A62" s="316" t="str">
        <x:v>S57</x:v>
      </x:c>
      <x:c r="B62" s="317" t="str">
        <x:v>Uniform Resource Identifier Generic Syntax</x:v>
      </x:c>
      <x:c r="C62" s="317" t="str">
        <x:v>Selected primary publication/schema inspected, as stated</x:v>
      </x:c>
      <x:c r="D62" s="317" t="str">
        <x:v>Exact publisher rights to be checked before copying terms, ontologies, example data or code</x:v>
      </x:c>
      <x:c r="E62" s="317" t="str">
        <x:v>No blanket reuse permission inferred</x:v>
      </x:c>
      <x:c r="F62" s="317" t="str">
        <x:v>No native compliance or patent clearance established</x:v>
      </x:c>
      <x:c r="G62" s="317" t="str">
        <x:v>§§1.1.3 and 3.5 inspected in the design-rationale primer</x:v>
      </x:c>
      <x:c r="H62" s="317" t="str">
        <x:v>IETF</x:v>
      </x:c>
      <x:c r="I62" s="317" t="str">
        <x:v>Check publication/encoding redistribution terms only if this exact source is selected; Fragment dereferencing, target search, revision stability and inter-resource identity remain profile-authored conventions.</x:v>
      </x:c>
      <x:c r="J62" s="317" t="str">
        <x:v>https://www.rfc-editor.org/rfc/rfc3986.html</x:v>
      </x:c>
    </x:row>
    <x:row r="63" ht="74" customHeight="1">
      <x:c r="A63" s="316" t="str">
        <x:v>S58</x:v>
      </x:c>
      <x:c r="B63" s="317" t="str">
        <x:v>JavaScript Object Notation Pointer</x:v>
      </x:c>
      <x:c r="C63" s="317" t="str">
        <x:v>Selected primary publication/schema inspected, as stated</x:v>
      </x:c>
      <x:c r="D63" s="317" t="str">
        <x:v>Exact publisher rights to be checked before copying terms, ontologies, example data or code</x:v>
      </x:c>
      <x:c r="E63" s="317" t="str">
        <x:v>No blanket reuse permission inferred</x:v>
      </x:c>
      <x:c r="F63" s="317" t="str">
        <x:v>No native compliance or patent clearance established</x:v>
      </x:c>
      <x:c r="G63" s="317" t="str">
        <x:v>§§3–6 inspected in the companion primer</x:v>
      </x:c>
      <x:c r="H63" s="317" t="str">
        <x:v>IETF</x:v>
      </x:c>
      <x:c r="I63" s="317" t="str">
        <x:v>Check publication/encoding redistribution terms only if this exact source is selected; Do not claim the proposed embedded-id fragment format implements JSON Pointer or uses its media-type fragment registration.</x:v>
      </x:c>
      <x:c r="J63" s="317" t="str">
        <x:v>https://www.rfc-editor.org/rfc/rfc6901.html</x:v>
      </x:c>
    </x:row>
    <x:row r="64" ht="75" customHeight="1">
      <x:c r="A64" s="316" t="str">
        <x:v>S59</x:v>
      </x:c>
      <x:c r="B64" s="317" t="str">
        <x:v>SensorML 3.0 JSON Schema collection</x:v>
      </x:c>
      <x:c r="C64" s="317" t="str">
        <x:v>Selected primary publication/schema inspected, as stated</x:v>
      </x:c>
      <x:c r="D64" s="317" t="str">
        <x:v>OGC publication/schema rights; selected public artifacts do not settle implementation patents</x:v>
      </x:c>
      <x:c r="E64" s="317" t="str">
        <x:v>No blanket reuse permission inferred</x:v>
      </x:c>
      <x:c r="F64" s="317" t="str">
        <x:v>No native compliance or patent clearance established</x:v>
      </x:c>
      <x:c r="G64" s="317" t="str">
        <x:v>Selected live repository schema files inspected for legal JSON carriers and native identifying properties</x:v>
      </x:c>
      <x:c r="H64" s="317" t="str">
        <x:v>OGC</x:v>
      </x:c>
      <x:c r="I64" s="317" t="str">
        <x:v>Check publication/encoding redistribution terms only if this exact source is selected; Inspection of selected JSON schemas is not a complete implementation validation nor evidence of allowed arbitrary top-level members.</x:v>
      </x:c>
      <x:c r="J64" s="317" t="str">
        <x:v>https://schemas.opengis.net/sensorML/3.0/json/</x:v>
      </x:c>
    </x:row>
    <x:row r="65" ht="74" customHeight="1">
      <x:c r="A65" s="316" t="str">
        <x:v>S60</x:v>
      </x:c>
      <x:c r="B65" s="317" t="str">
        <x:v>CSAPI Part 2 SystemEvent JSON Schema</x:v>
      </x:c>
      <x:c r="C65" s="317" t="str">
        <x:v>Selected primary publication/schema inspected, as stated</x:v>
      </x:c>
      <x:c r="D65" s="317" t="str">
        <x:v>OGC publication/schema rights; selected public artifacts do not settle implementation patents</x:v>
      </x:c>
      <x:c r="E65" s="317" t="str">
        <x:v>No blanket reuse permission inferred</x:v>
      </x:c>
      <x:c r="F65" s="317" t="str">
        <x:v>No native compliance or patent clearance established</x:v>
      </x:c>
      <x:c r="G65" s="317" t="str">
        <x:v>Specific event schema inspected in Power Source binding review</x:v>
      </x:c>
      <x:c r="H65" s="317" t="str">
        <x:v>OGC</x:v>
      </x:c>
      <x:c r="I65" s="317" t="str">
        <x:v>Check publication/encoding redistribution terms only if this exact source is selected; Optional SystemEvents class and exact event encoding are separate from SensorML embedded history and ISA Event updates.</x:v>
      </x:c>
      <x:c r="J65" s="317" t="str">
        <x:v>https://schemas.opengis.net/ogcapi/connected-systems/part2/1.0/</x:v>
      </x:c>
    </x:row>
    <x:row r="66" ht="74" customHeight="1">
      <x:c r="A66" s="316" t="str">
        <x:v>S61</x:v>
      </x:c>
      <x:c r="B66" s="317" t="str">
        <x:v>Monitoring and Control MIB for Power and Energy</x:v>
      </x:c>
      <x:c r="C66" s="317" t="str">
        <x:v>Selected primary publication/schema inspected, as stated</x:v>
      </x:c>
      <x:c r="D66" s="317" t="str">
        <x:v>Exact publisher rights to be checked before copying terms, ontologies, example data or code</x:v>
      </x:c>
      <x:c r="E66" s="317" t="str">
        <x:v>No blanket reuse permission inferred</x:v>
      </x:c>
      <x:c r="F66" s="317" t="str">
        <x:v>No native compliance or patent clearance established</x:v>
      </x:c>
      <x:c r="G66" s="317" t="str">
        <x:v>Selected §§5 and 9 reviewed in power-domain research</x:v>
      </x:c>
      <x:c r="H66" s="317" t="str">
        <x:v>IETF</x:v>
      </x:c>
      <x:c r="I66" s="317" t="str">
        <x:v>Check publication/encoding redistribution terms only if this exact source is selected; RFC 7460 MIB objects, requirements and units must not be copied wholesale into SWE with a native MIB conformance claim.</x:v>
      </x:c>
      <x:c r="J66" s="317" t="str">
        <x:v>https://www.rfc-editor.org/rfc/rfc7460.html</x:v>
      </x:c>
    </x:row>
    <x:row r="67" ht="74" customHeight="1">
      <x:c r="A67" s="316" t="str">
        <x:v>S62</x:v>
      </x:c>
      <x:c r="B67" s="317" t="str">
        <x:v>Energy Object Context MIB</x:v>
      </x:c>
      <x:c r="C67" s="317" t="str">
        <x:v>Selected primary publication/schema inspected, as stated</x:v>
      </x:c>
      <x:c r="D67" s="317" t="str">
        <x:v>Exact publisher rights to be checked before copying terms, ontologies, example data or code</x:v>
      </x:c>
      <x:c r="E67" s="317" t="str">
        <x:v>No blanket reuse permission inferred</x:v>
      </x:c>
      <x:c r="F67" s="317" t="str">
        <x:v>No native compliance or patent clearance established</x:v>
      </x:c>
      <x:c r="G67" s="317" t="str">
        <x:v>Selected §§5–6 and relationship/token definitions inspected by Power Source</x:v>
      </x:c>
      <x:c r="H67" s="317" t="str">
        <x:v>IETF</x:v>
      </x:c>
      <x:c r="I67" s="317" t="str">
        <x:v>Check publication/encoding redistribution terms only if this exact source is selected; Power relationships in SensorML are authored mappings, not native RFC 7461 agent behavior.</x:v>
      </x:c>
      <x:c r="J67" s="317" t="str">
        <x:v>https://www.rfc-editor.org/rfc/rfc7461.html</x:v>
      </x:c>
    </x:row>
    <x:row r="68" ht="74" customHeight="1">
      <x:c r="A68" s="316" t="str">
        <x:v>S63</x:v>
      </x:c>
      <x:c r="B68" s="317" t="str">
        <x:v>CIM_Battery in CIM Schema 2.31</x:v>
      </x:c>
      <x:c r="C68" s="317" t="str">
        <x:v>Selected primary publication/schema inspected, as stated</x:v>
      </x:c>
      <x:c r="D68" s="317" t="str">
        <x:v>Exact publisher rights to be checked before copying terms, ontologies, example data or code</x:v>
      </x:c>
      <x:c r="E68" s="317" t="str">
        <x:v>No blanket reuse permission inferred</x:v>
      </x:c>
      <x:c r="F68" s="317" t="str">
        <x:v>No native compliance or patent clearance established</x:v>
      </x:c>
      <x:c r="G68" s="317" t="str">
        <x:v>Selected published class properties inspected, especially EstimatedRunTime, TimeToFullCharge, HealthPercent</x:v>
      </x:c>
      <x:c r="H68" s="317" t="str">
        <x:v>DMTF</x:v>
      </x:c>
      <x:c r="I68" s="317" t="str">
        <x:v>Check publication/encoding redistribution terms only if this exact source is selected; The DISR's retired CIM schema 2.10.1 is not the version inspected and does not confer status on this class.</x:v>
      </x:c>
      <x:c r="J68" s="317" t="str">
        <x:v>https://www.dmtf.org/standards/cim</x:v>
      </x:c>
    </x:row>
    <x:row r="69" ht="74" customHeight="1">
      <x:c r="A69" s="316" t="str">
        <x:v>S64</x:v>
      </x:c>
      <x:c r="B69" s="317" t="str">
        <x:v>Redfish Battery JSON Schema</x:v>
      </x:c>
      <x:c r="C69" s="317" t="str">
        <x:v>Selected primary publication/schema inspected, as stated</x:v>
      </x:c>
      <x:c r="D69" s="317" t="str">
        <x:v>DMTF attribution and patent considerations; no blanket clearance</x:v>
      </x:c>
      <x:c r="E69" s="317" t="str">
        <x:v>No blanket reuse permission inferred</x:v>
      </x:c>
      <x:c r="F69" s="317" t="str">
        <x:v>No native compliance or patent clearance established</x:v>
      </x:c>
      <x:c r="G69" s="317" t="str">
        <x:v>Named versioned schema selected and read in Power Source comparison</x:v>
      </x:c>
      <x:c r="H69" s="317" t="str">
        <x:v>DMTF</x:v>
      </x:c>
      <x:c r="I69" s="317" t="str">
        <x:v>Check publication/encoding redistribution terms only if this exact source is selected; The comparison did not establish implementation of a Redfish service or conformance to all referenced schema dependencies.</x:v>
      </x:c>
      <x:c r="J69" s="317" t="str">
        <x:v>https://github.com/DMTF/Redfish-Publications/blob/master/json-schema/Battery.v1_4_0.json</x:v>
      </x:c>
    </x:row>
    <x:row r="70" ht="74" customHeight="1">
      <x:c r="A70" s="316" t="str">
        <x:v>S65</x:v>
      </x:c>
      <x:c r="B70" s="317" t="str">
        <x:v>Redfish BatteryMetrics JSON Schema</x:v>
      </x:c>
      <x:c r="C70" s="317" t="str">
        <x:v>Selected primary publication/schema inspected, as stated</x:v>
      </x:c>
      <x:c r="D70" s="317" t="str">
        <x:v>DMTF attribution and patent considerations; no blanket clearance</x:v>
      </x:c>
      <x:c r="E70" s="317" t="str">
        <x:v>No blanket reuse permission inferred</x:v>
      </x:c>
      <x:c r="F70" s="317" t="str">
        <x:v>No native compliance or patent clearance established</x:v>
      </x:c>
      <x:c r="G70" s="317" t="str">
        <x:v>Named versioned schema read in Power Source comparison</x:v>
      </x:c>
      <x:c r="H70" s="317" t="str">
        <x:v>DMTF</x:v>
      </x:c>
      <x:c r="I70" s="317" t="str">
        <x:v>Check publication/encoding redistribution terms only if this exact source is selected; Do not mistake this inspected schema revision for the latest complete Redfish standard or a CSAPI-compatible JSON Schema.</x:v>
      </x:c>
      <x:c r="J70" s="317" t="str">
        <x:v>https://github.com/DMTF/Redfish-Publications/blob/master/json-schema/BatteryMetrics.v1_1_0.json</x:v>
      </x:c>
    </x:row>
    <x:row r="71" ht="74" customHeight="1">
      <x:c r="A71" s="316" t="str">
        <x:v>S66</x:v>
      </x:c>
      <x:c r="B71" s="317" t="str">
        <x:v>Redfish PowerDistribution JSON Schema</x:v>
      </x:c>
      <x:c r="C71" s="317" t="str">
        <x:v>Selected primary publication/schema inspected, as stated</x:v>
      </x:c>
      <x:c r="D71" s="317" t="str">
        <x:v>DMTF attribution and patent considerations; no blanket clearance</x:v>
      </x:c>
      <x:c r="E71" s="317" t="str">
        <x:v>No blanket reuse permission inferred</x:v>
      </x:c>
      <x:c r="F71" s="317" t="str">
        <x:v>No native compliance or patent clearance established</x:v>
      </x:c>
      <x:c r="G71" s="317" t="str">
        <x:v>Named versioned schema read for circuits, outlets and redundancy structures</x:v>
      </x:c>
      <x:c r="H71" s="317" t="str">
        <x:v>DMTF</x:v>
      </x:c>
      <x:c r="I71" s="317" t="str">
        <x:v>Check publication/encoding redistribution terms only if this exact source is selected; The selected power recommendation did not adopt full Redfish resource architecture or perform cross-vendor Redfish testing.</x:v>
      </x:c>
      <x:c r="J71" s="317" t="str">
        <x:v>https://github.com/DMTF/Redfish-Publications/blob/master/json-schema/PowerDistribution.v1_4_0.json</x:v>
      </x:c>
    </x:row>
    <x:row r="72" ht="74" customHeight="1">
      <x:c r="A72" s="316" t="str">
        <x:v>S67</x:v>
      </x:c>
      <x:c r="B72" s="317" t="str">
        <x:v>Redfish Resource and Schema Guide</x:v>
      </x:c>
      <x:c r="C72" s="317" t="str">
        <x:v>Selected primary publication/schema inspected, as stated</x:v>
      </x:c>
      <x:c r="D72" s="317" t="str">
        <x:v>DMTF attribution and patent considerations; no blanket clearance</x:v>
      </x:c>
      <x:c r="E72" s="317" t="str">
        <x:v>No blanket reuse permission inferred</x:v>
      </x:c>
      <x:c r="F72" s="317" t="str">
        <x:v>No native compliance or patent clearance established</x:v>
      </x:c>
      <x:c r="G72" s="317" t="str">
        <x:v>Guide metadata and copyright/patent notices examined with named Redfish schemas</x:v>
      </x:c>
      <x:c r="H72" s="317" t="str">
        <x:v>DMTF</x:v>
      </x:c>
      <x:c r="I72" s="317" t="str">
        <x:v>Check publication/encoding redistribution terms only if this exact source is selected; A public schema is not blanket license or proof that a SensorML mapping implements Redfish.</x:v>
      </x:c>
      <x:c r="J72" s="317" t="str">
        <x:v>https://www.dmtf.org/standards/redfish</x:v>
      </x:c>
    </x:row>
    <x:row r="73" ht="74" customHeight="1">
      <x:c r="A73" s="316" t="str">
        <x:v>S68</x:v>
      </x:c>
      <x:c r="B73" s="317" t="str">
        <x:v>Lightweight M2M Core Device Object appendix</x:v>
      </x:c>
      <x:c r="C73" s="317" t="str">
        <x:v>Selected primary publication/schema inspected, as stated</x:v>
      </x:c>
      <x:c r="D73" s="317" t="str">
        <x:v>Exact publisher rights to be checked before copying terms, ontologies, example data or code</x:v>
      </x:c>
      <x:c r="E73" s="317" t="str">
        <x:v>No blanket reuse permission inferred</x:v>
      </x:c>
      <x:c r="F73" s="317" t="str">
        <x:v>No native compliance or patent clearance established</x:v>
      </x:c>
      <x:c r="G73" s="317" t="str">
        <x:v>Dated frozen core specification, Appendix E.4, inspected in Power Source comparison</x:v>
      </x:c>
      <x:c r="H73" s="317" t="str">
        <x:v>OMA</x:v>
      </x:c>
      <x:c r="I73" s="317" t="str">
        <x:v>Check publication/encoding redistribution terms only if this exact source is selected; This is not an adoption of an OMA Lightweight M2M client/server stack or of a live mutable object registry.</x:v>
      </x:c>
      <x:c r="J73" s="317" t="str">
        <x:v>https://www.openmobilealliance.org/release/LightweightM2M/V1_2_2-20240613-A/OMA-TS-LightweightM2M_Core-V1_2_2-20240613-A.pdf</x:v>
      </x:c>
    </x:row>
    <x:row r="74" ht="74" customHeight="1">
      <x:c r="A74" s="316" t="str">
        <x:v>S69</x:v>
      </x:c>
      <x:c r="B74" s="317" t="str">
        <x:v>IETF Intellectual Property Rights guidance</x:v>
      </x:c>
      <x:c r="C74" s="317" t="str">
        <x:v>Official policy/license consulted; not a technical standard</x:v>
      </x:c>
      <x:c r="D74" s="317" t="str">
        <x:v>Official terms cited; permissions apply to actual intended use, no legal clearance</x:v>
      </x:c>
      <x:c r="E74" s="317" t="str">
        <x:v>No blanket reuse permission inferred</x:v>
      </x:c>
      <x:c r="F74" s="317" t="str">
        <x:v>No native compliance or patent clearance established</x:v>
      </x:c>
      <x:c r="G74" s="317" t="str">
        <x:v>Selected public document, code-component and patent guidance consulted in Power Source</x:v>
      </x:c>
      <x:c r="H74" s="317" t="str">
        <x:v>IETF</x:v>
      </x:c>
      <x:c r="I74" s="317" t="str">
        <x:v>Check publication/encoding redistribution terms only if this exact source is selected; Informative legal/organizational guidance; not an engineering interface specification nor a substitute for rights clearance.</x:v>
      </x:c>
      <x:c r="J74" s="317" t="str">
        <x:v>https://www.ietf.org/standards/ipr/</x:v>
      </x:c>
    </x:row>
    <x:row r="75" ht="74" customHeight="1">
      <x:c r="A75" s="316" t="str">
        <x:v>S70</x:v>
      </x:c>
      <x:c r="B75" s="317" t="str">
        <x:v>UCUM License</x:v>
      </x:c>
      <x:c r="C75" s="317" t="str">
        <x:v>Official policy/license consulted; not a technical standard</x:v>
      </x:c>
      <x:c r="D75" s="317" t="str">
        <x:v>UCUM license; preserve published codes and semantics</x:v>
      </x:c>
      <x:c r="E75" s="317" t="str">
        <x:v>No blanket reuse permission inferred</x:v>
      </x:c>
      <x:c r="F75" s="317" t="str">
        <x:v>No native compliance or patent clearance established</x:v>
      </x:c>
      <x:c r="G75" s="317" t="str">
        <x:v>License terms consulted in Power Source / foundational research</x:v>
      </x:c>
      <x:c r="H75" s="317" t="str">
        <x:v>UCUM</x:v>
      </x:c>
      <x:c r="I75" s="317" t="str">
        <x:v>Check publication/encoding redistribution terms only if this exact source is selected; License evidence does not establish a new quantity taxonomy or an edition change from the SensorML reference.</x:v>
      </x:c>
      <x:c r="J75" s="317" t="str">
        <x:v>https://ucum.org/license</x:v>
      </x:c>
    </x:row>
    <x:row r="76" ht="74" customHeight="1">
      <x:c r="A76" s="316" t="str">
        <x:v>S71</x:v>
      </x:c>
      <x:c r="B76" s="317" t="str">
        <x:v>IEEE 1451.0-2024 smart transducer common standard</x:v>
      </x:c>
      <x:c r="C76" s="317" t="str">
        <x:v>Normative access gate; publication / proxies only</x:v>
      </x:c>
      <x:c r="D76" s="317" t="str">
        <x:v>ISO/IEEE text access and copyright; precise normative copy/reuse not cleared</x:v>
      </x:c>
      <x:c r="E76" s="317" t="str">
        <x:v>No blanket reuse permission inferred</x:v>
      </x:c>
      <x:c r="F76" s="317" t="str">
        <x:v>No native compliance or patent clearance established</x:v>
      </x:c>
      <x:c r="G76" s="317" t="str">
        <x:v>Official IEEE scope/status; full normative edition NOT obtained; current Playground used as indirect evidence</x:v>
      </x:c>
      <x:c r="H76" s="317" t="str">
        <x:v>IEEE SA</x:v>
      </x:c>
      <x:c r="I76" s="317" t="str">
        <x:v>Check publication/encoding redistribution terms only if this exact source is selected; Field cardinalities, normative optionality, exact clauses and 2010 delta remain blocked pending authorized full-standard access.</x:v>
      </x:c>
      <x:c r="J76" s="317" t="str">
        <x:v>https://standards.ieee.org/ieee/1451.0/11001/</x:v>
      </x:c>
    </x:row>
    <x:row r="77" ht="74" customHeight="1">
      <x:c r="A77" s="316" t="str">
        <x:v>S72</x:v>
      </x:c>
      <x:c r="B77" s="317" t="str">
        <x:v>ISO/IEC/IEEE 21450:2010 smart transducer common functions</x:v>
      </x:c>
      <x:c r="C77" s="317" t="str">
        <x:v>Normative access gate; publication / proxies only</x:v>
      </x:c>
      <x:c r="D77" s="317" t="str">
        <x:v>ISO/IEEE text access and copyright; precise normative copy/reuse not cleared</x:v>
      </x:c>
      <x:c r="E77" s="317" t="str">
        <x:v>No blanket reuse permission inferred</x:v>
      </x:c>
      <x:c r="F77" s="317" t="str">
        <x:v>No native compliance or patent clearance established</x:v>
      </x:c>
      <x:c r="G77" s="317" t="str">
        <x:v>Official catalogue scope and confirmation, full normative text inaccessible during IEEE Pass 1A</x:v>
      </x:c>
      <x:c r="H77" s="317" t="str">
        <x:v>ISO/IEC/IEEE</x:v>
      </x:c>
      <x:c r="I77" s="317" t="str">
        <x:v>Check publication/encoding redistribution terms only if this exact source is selected; Listed Emerging / IC-Emerging in the supplied complete DISR baseline; inherited IEEE 1451.0-2007 entry is Retired.</x:v>
      </x:c>
      <x:c r="J77" s="317" t="str">
        <x:v>https://www.iso.org/standard/54356.html</x:v>
      </x:c>
    </x:row>
    <x:row r="78" ht="74" customHeight="1">
      <x:c r="A78" s="316" t="str">
        <x:v>S73</x:v>
      </x:c>
      <x:c r="B78" s="317" t="str">
        <x:v>ISO/IEC/IEEE 21451-1:2010 NCAP information model</x:v>
      </x:c>
      <x:c r="C78" s="317" t="str">
        <x:v>Normative access gate; publication / proxies only</x:v>
      </x:c>
      <x:c r="D78" s="317" t="str">
        <x:v>ISO/IEEE text access and copyright; precise normative copy/reuse not cleared</x:v>
      </x:c>
      <x:c r="E78" s="317" t="str">
        <x:v>No blanket reuse permission inferred</x:v>
      </x:c>
      <x:c r="F78" s="317" t="str">
        <x:v>No native compliance or patent clearance established</x:v>
      </x:c>
      <x:c r="G78" s="317" t="str">
        <x:v>Official catalogue scope and 2025 confirmation, full normative edition not inspected</x:v>
      </x:c>
      <x:c r="H78" s="317" t="str">
        <x:v>ISO/IEC/IEEE</x:v>
      </x:c>
      <x:c r="I78" s="317" t="str">
        <x:v>Check publication/encoding redistribution terms only if this exact source is selected; Do not misstate it as a complete deployed-system information model or as mandating NCAP runtime for CSAPI.</x:v>
      </x:c>
      <x:c r="J78" s="317" t="str">
        <x:v>https://www.iso.org/standard/54357.html</x:v>
      </x:c>
    </x:row>
    <x:row r="79" ht="74" customHeight="1">
      <x:c r="A79" s="316" t="str">
        <x:v>S74</x:v>
      </x:c>
      <x:c r="B79" s="317" t="str">
        <x:v>ISO/IEC/IEEE 21451-2:2010 digital transducer interface and TEDS</x:v>
      </x:c>
      <x:c r="C79" s="317" t="str">
        <x:v>Normative access gate; publication / proxies only</x:v>
      </x:c>
      <x:c r="D79" s="317" t="str">
        <x:v>ISO/IEEE text access and copyright; precise normative copy/reuse not cleared</x:v>
      </x:c>
      <x:c r="E79" s="317" t="str">
        <x:v>No blanket reuse permission inferred</x:v>
      </x:c>
      <x:c r="F79" s="317" t="str">
        <x:v>No native compliance or patent clearance established</x:v>
      </x:c>
      <x:c r="G79" s="317" t="str">
        <x:v>Official catalogue scope; full normative tables and requirements not available</x:v>
      </x:c>
      <x:c r="H79" s="317" t="str">
        <x:v>ISO/IEC/IEEE</x:v>
      </x:c>
      <x:c r="I79" s="317" t="str">
        <x:v>Check publication/encoding redistribution terms only if this exact source is selected; Published catalogue does not establish the mandatory field mapping or full current transducer-channel vocabulary.</x:v>
      </x:c>
      <x:c r="J79" s="317" t="str">
        <x:v>https://www.iso.org/standard/54367.html</x:v>
      </x:c>
    </x:row>
    <x:row r="80" ht="74" customHeight="1">
      <x:c r="A80" s="316" t="str">
        <x:v>S75</x:v>
      </x:c>
      <x:c r="B80" s="317" t="str">
        <x:v>ISO/IEC/IEEE 21451-4:2010 mixed-mode interface and TEDS</x:v>
      </x:c>
      <x:c r="C80" s="317" t="str">
        <x:v>Normative access gate; publication / proxies only</x:v>
      </x:c>
      <x:c r="D80" s="317" t="str">
        <x:v>ISO/IEEE text access and copyright; precise normative copy/reuse not cleared</x:v>
      </x:c>
      <x:c r="E80" s="317" t="str">
        <x:v>No blanket reuse permission inferred</x:v>
      </x:c>
      <x:c r="F80" s="317" t="str">
        <x:v>No native compliance or patent clearance established</x:v>
      </x:c>
      <x:c r="G80" s="317" t="str">
        <x:v>Official catalogue scope; detailed mixed-mode normative text not available</x:v>
      </x:c>
      <x:c r="H80" s="317" t="str">
        <x:v>ISO/IEC/IEEE</x:v>
      </x:c>
      <x:c r="I80" s="317" t="str">
        <x:v>Check publication/encoding redistribution terms only if this exact source is selected; The applicability to a given MERLIN provider and precise TEDS field overlap requires explicit technical evidence.</x:v>
      </x:c>
      <x:c r="J80" s="317" t="str">
        <x:v>https://www.iso.org/standard/54368.html</x:v>
      </x:c>
    </x:row>
    <x:row r="81" ht="74" customHeight="1">
      <x:c r="A81" s="316" t="str">
        <x:v>S76</x:v>
      </x:c>
      <x:c r="B81" s="317" t="str">
        <x:v>IEEE 1451.1.6 MQTT extension</x:v>
      </x:c>
      <x:c r="C81" s="317" t="str">
        <x:v>Normative access gate; publication / proxies only</x:v>
      </x:c>
      <x:c r="D81" s="317" t="str">
        <x:v>ISO/IEEE text access and copyright; precise normative copy/reuse not cleared</x:v>
      </x:c>
      <x:c r="E81" s="317" t="str">
        <x:v>No blanket reuse permission inferred</x:v>
      </x:c>
      <x:c r="F81" s="317" t="str">
        <x:v>No native compliance or patent clearance established</x:v>
      </x:c>
      <x:c r="G81" s="317" t="str">
        <x:v>IEEE publication/status page inspected; full normative clauses not examined</x:v>
      </x:c>
      <x:c r="H81" s="317" t="str">
        <x:v>IEEE SA</x:v>
      </x:c>
      <x:c r="I81" s="317" t="str">
        <x:v>Check publication/encoding redistribution terms only if this exact source is selected; It is not an edition replacement for 21451-1 or a reason to make MQTT mandatory in MERLIN.</x:v>
      </x:c>
      <x:c r="J81" s="317" t="str">
        <x:v>https://standards.ieee.org/ieee/1451.1.6/11619/</x:v>
      </x:c>
    </x:row>
    <x:row r="82" ht="74" customHeight="1">
      <x:c r="A82" s="316" t="str">
        <x:v>S77</x:v>
      </x:c>
      <x:c r="B82" s="317" t="str">
        <x:v>IEEE 1451 Playground Meta TEDS</x:v>
      </x:c>
      <x:c r="C82" s="317" t="str">
        <x:v>Publisher/implementation-linked evidence; licensed clauses pending</x:v>
      </x:c>
      <x:c r="D82" s="317" t="str">
        <x:v>ISO/IEEE text access and copyright; precise normative copy/reuse not cleared</x:v>
      </x:c>
      <x:c r="E82" s="317" t="str">
        <x:v>No blanket reuse permission inferred</x:v>
      </x:c>
      <x:c r="F82" s="317" t="str">
        <x:v>No native compliance or patent clearance established</x:v>
      </x:c>
      <x:c r="G82" s="317" t="str">
        <x:v>Public implementation-linked form, apparent §6.4 Table 13; NIST describes playground's validation purpose</x:v>
      </x:c>
      <x:c r="H82" s="317" t="str">
        <x:v>IEEE 1451 Playground</x:v>
      </x:c>
      <x:c r="I82" s="317" t="str">
        <x:v>Check publication/encoding redistribution terms only if this exact source is selected; Playground interface is secondary to full normative text for exact field definitions, requirements and permitted structures.</x:v>
      </x:c>
      <x:c r="J82" s="317" t="str">
        <x:v>https://iml.ubi.pt/playground/docs/ieee1451/teds/meta-teds/</x:v>
      </x:c>
    </x:row>
    <x:row r="83" ht="74" customHeight="1">
      <x:c r="A83" s="316" t="str">
        <x:v>S78</x:v>
      </x:c>
      <x:c r="B83" s="317" t="str">
        <x:v>IEEE 1451 Playground TransducerChannel TEDS</x:v>
      </x:c>
      <x:c r="C83" s="317" t="str">
        <x:v>Normative access gate; publication / proxies only</x:v>
      </x:c>
      <x:c r="D83" s="317" t="str">
        <x:v>ISO/IEEE text access and copyright; precise normative copy/reuse not cleared</x:v>
      </x:c>
      <x:c r="E83" s="317" t="str">
        <x:v>No blanket reuse permission inferred</x:v>
      </x:c>
      <x:c r="F83" s="317" t="str">
        <x:v>No native compliance or patent clearance established</x:v>
      </x:c>
      <x:c r="G83" s="317" t="str">
        <x:v>Public form with apparent §6.5/Table 19 and detailed candidate fields; full standard missing</x:v>
      </x:c>
      <x:c r="H83" s="317" t="str">
        <x:v>IEEE 1451 Playground</x:v>
      </x:c>
      <x:c r="I83" s="317" t="str">
        <x:v>Check publication/encoding redistribution terms only if this exact source is selected; The form cannot resolve conditional requirements, cardinalities or 2010-to-2024 changes alone.</x:v>
      </x:c>
      <x:c r="J83" s="317" t="str">
        <x:v>https://iml.ubi.pt/playground/docs/ieee1451/teds/transducer-channel-teds/</x:v>
      </x:c>
    </x:row>
    <x:row r="84" ht="74" customHeight="1">
      <x:c r="A84" s="316" t="str">
        <x:v>S79</x:v>
      </x:c>
      <x:c r="B84" s="317" t="str">
        <x:v>IEEE 1451 Playground Optional TEDS</x:v>
      </x:c>
      <x:c r="C84" s="317" t="str">
        <x:v>Publisher/implementation-linked evidence; licensed clauses pending</x:v>
      </x:c>
      <x:c r="D84" s="317" t="str">
        <x:v>ISO/IEEE text access and copyright; precise normative copy/reuse not cleared</x:v>
      </x:c>
      <x:c r="E84" s="317" t="str">
        <x:v>No blanket reuse permission inferred</x:v>
      </x:c>
      <x:c r="F84" s="317" t="str">
        <x:v>No native compliance or patent clearance established</x:v>
      </x:c>
      <x:c r="G84" s="317" t="str">
        <x:v>Public descriptions of calibration, frequency response, identification, location, security and time-sync TEDS</x:v>
      </x:c>
      <x:c r="H84" s="317" t="str">
        <x:v>IEEE 1451 Playground</x:v>
      </x:c>
      <x:c r="I84" s="317" t="str">
        <x:v>Check publication/encoding redistribution terms only if this exact source is selected; Transfer Function label and some mandatory-status descriptions require the licensed specification to resolve.</x:v>
      </x:c>
      <x:c r="J84" s="317" t="str">
        <x:v>https://iml.ubi.pt/playground/docs/ieee1451/teds/optional-teds/</x:v>
      </x:c>
    </x:row>
    <x:row r="85" ht="74" customHeight="1">
      <x:c r="A85" s="316" t="str">
        <x:v>S80</x:v>
      </x:c>
      <x:c r="B85" s="317" t="str">
        <x:v>IEEE 1451 Playground PHY TEDS</x:v>
      </x:c>
      <x:c r="C85" s="317" t="str">
        <x:v>Publisher/implementation-linked evidence; licensed clauses pending</x:v>
      </x:c>
      <x:c r="D85" s="317" t="str">
        <x:v>ISO/IEEE text access and copyright; precise normative copy/reuse not cleared</x:v>
      </x:c>
      <x:c r="E85" s="317" t="str">
        <x:v>No blanket reuse permission inferred</x:v>
      </x:c>
      <x:c r="F85" s="317" t="str">
        <x:v>No native compliance or patent clearance established</x:v>
      </x:c>
      <x:c r="G85" s="317" t="str">
        <x:v>Public page visibly cites a family-specific 1451.5-2007 clause</x:v>
      </x:c>
      <x:c r="H85" s="317" t="str">
        <x:v>IEEE 1451 Playground</x:v>
      </x:c>
      <x:c r="I85" s="317" t="str">
        <x:v>Check publication/encoding redistribution terms only if this exact source is selected; Do not claim PHY TEDS is universally mandatory in IEEE 1451.0-2024 based on a tutorial page.</x:v>
      </x:c>
      <x:c r="J85" s="317" t="str">
        <x:v>https://iml.ubi.pt/playground/docs/ieee1451/teds/phy-teds/</x:v>
      </x:c>
    </x:row>
    <x:row r="86" ht="74" customHeight="1">
      <x:c r="A86" s="316" t="str">
        <x:v>S81</x:v>
      </x:c>
      <x:c r="B86" s="317" t="str">
        <x:v>NIST announcement of IEEE 1451.0-2024</x:v>
      </x:c>
      <x:c r="C86" s="317" t="str">
        <x:v>Publisher/implementation-linked evidence; licensed clauses pending</x:v>
      </x:c>
      <x:c r="D86" s="317" t="str">
        <x:v>ISO/IEEE text access and copyright; precise normative copy/reuse not cleared</x:v>
      </x:c>
      <x:c r="E86" s="317" t="str">
        <x:v>No blanket reuse permission inferred</x:v>
      </x:c>
      <x:c r="F86" s="317" t="str">
        <x:v>No native compliance or patent clearance established</x:v>
      </x:c>
      <x:c r="G86" s="317" t="str">
        <x:v>First-party NIST publication reviewed for scope, leadership and edition significance</x:v>
      </x:c>
      <x:c r="H86" s="317" t="str">
        <x:v>NIST</x:v>
      </x:c>
      <x:c r="I86" s="317" t="str">
        <x:v>Check publication/encoding redistribution terms only if this exact source is selected; Public announcement does not reproduce a 400-page standard or establish field-level normative duties.</x:v>
      </x:c>
      <x:c r="J86" s="317" t="str">
        <x:v>https://www.nist.gov/news-events/news/2024/07/ieee-14510-2024-standard-published-under-leadership-nist-researchers</x:v>
      </x:c>
    </x:row>
    <x:row r="87" ht="74" customHeight="1">
      <x:c r="A87" s="316" t="str">
        <x:v>S82</x:v>
      </x:c>
      <x:c r="B87" s="317" t="str">
        <x:v>NIST announcement of IEEE 1451 Playground</x:v>
      </x:c>
      <x:c r="C87" s="317" t="str">
        <x:v>Publisher/implementation-linked evidence; licensed clauses pending</x:v>
      </x:c>
      <x:c r="D87" s="317" t="str">
        <x:v>ISO/IEEE text access and copyright; precise normative copy/reuse not cleared</x:v>
      </x:c>
      <x:c r="E87" s="317" t="str">
        <x:v>No blanket reuse permission inferred</x:v>
      </x:c>
      <x:c r="F87" s="317" t="str">
        <x:v>No native compliance or patent clearance established</x:v>
      </x:c>
      <x:c r="G87" s="317" t="str">
        <x:v>First-party NIST publication explaining Playground and intended validation role</x:v>
      </x:c>
      <x:c r="H87" s="317" t="str">
        <x:v>NIST</x:v>
      </x:c>
      <x:c r="I87" s="317" t="str">
        <x:v>Check publication/encoding redistribution terms only if this exact source is selected; It does not verify mandatory versus optional requirements hidden in the licensed standard.</x:v>
      </x:c>
      <x:c r="J87" s="317" t="str">
        <x:v>https://www.nist.gov/news-events/news/2024/12/nist-and-university-researchers-present-online-tool-support-ieee-standards</x:v>
      </x:c>
    </x:row>
    <x:row r="88" ht="74" customHeight="1">
      <x:c r="A88" s="316" t="str">
        <x:v>S83</x:v>
      </x:c>
      <x:c r="B88" s="317" t="str">
        <x:v>IEEE 1451.0-based WoT ontology paper</x:v>
      </x:c>
      <x:c r="C88" s="317" t="str">
        <x:v>Publisher/implementation-linked evidence; licensed clauses pending</x:v>
      </x:c>
      <x:c r="D88" s="317" t="str">
        <x:v>ISO/IEEE text access and copyright; precise normative copy/reuse not cleared</x:v>
      </x:c>
      <x:c r="E88" s="317" t="str">
        <x:v>No blanket reuse permission inferred</x:v>
      </x:c>
      <x:c r="F88" s="317" t="str">
        <x:v>No native compliance or patent clearance established</x:v>
      </x:c>
      <x:c r="G88" s="317" t="str">
        <x:v>Current technical paper directly assessed in IEEE public-source workstream</x:v>
      </x:c>
      <x:c r="H88" s="317" t="str">
        <x:v>NIST and IEEE research</x:v>
      </x:c>
      <x:c r="I88" s="317" t="str">
        <x:v>Check publication/encoding redistribution terms only if this exact source is selected; The result is not a published IEEE-to-SensorML or IEEE-to-CSAPI profile, nor IEEE implementation by MERLIN.</x:v>
      </x:c>
      <x:c r="J88" s="317" t="str">
        <x:v>https://www.nist.gov/publications/ieee-14510-based-web-thing-wot-ontology</x:v>
      </x:c>
    </x:row>
    <x:row r="89" ht="74" customHeight="1">
      <x:c r="A89" s="316" t="str">
        <x:v>S84</x:v>
      </x:c>
      <x:c r="B89" s="317" t="str">
        <x:v>A Unifying Standard for Interfacing Transducers to Networks</x:v>
      </x:c>
      <x:c r="C89" s="317" t="str">
        <x:v>Publisher/implementation-linked evidence; licensed clauses pending</x:v>
      </x:c>
      <x:c r="D89" s="317" t="str">
        <x:v>ISO/IEEE text access and copyright; precise normative copy/reuse not cleared</x:v>
      </x:c>
      <x:c r="E89" s="317" t="str">
        <x:v>No blanket reuse permission inferred</x:v>
      </x:c>
      <x:c r="F89" s="317" t="str">
        <x:v>No native compliance or patent clearance established</x:v>
      </x:c>
      <x:c r="G89" s="317" t="str">
        <x:v>NIST engineering literature assessed for historical 1451.0 design intent</x:v>
      </x:c>
      <x:c r="H89" s="317" t="str">
        <x:v>NIST and IEEE research</x:v>
      </x:c>
      <x:c r="I89" s="317" t="str">
        <x:v>Check publication/encoding redistribution terms only if this exact source is selected; Historical terminology and optionality must not be presented as exact current 2024 normative clauses.</x:v>
      </x:c>
      <x:c r="J89" s="317" t="str">
        <x:v>https://www.nist.gov/publications/unifying-standard-interfacing-transducers-networks-ieee-14510</x:v>
      </x:c>
    </x:row>
    <x:row r="90" ht="74" customHeight="1">
      <x:c r="A90" s="316" t="str">
        <x:v>S85</x:v>
      </x:c>
      <x:c r="B90" s="317" t="str">
        <x:v>ISA White Paper 6.0</x:v>
      </x:c>
      <x:c r="C90" s="317" t="str">
        <x:v>Primary ISA PDF—bounded inspection</x:v>
      </x:c>
      <x:c r="D90" s="317" t="str">
        <x:v>Distribution A; separate copyright, code, security implementation and derivative-use review</x:v>
      </x:c>
      <x:c r="E90" s="317" t="str">
        <x:v>No blanket reuse permission inferred</x:v>
      </x:c>
      <x:c r="F90" s="317" t="str">
        <x:v>No native compliance or patent clearance established</x:v>
      </x:c>
      <x:c r="G90" s="317" t="str">
        <x:v>Full user-supplied PDF read in ISA Phase 1/2; governance and design sections</x:v>
      </x:c>
      <x:c r="H90" s="317" t="str">
        <x:v>U.S. Army ISA</x:v>
      </x:c>
      <x:c r="I90" s="317" t="str">
        <x:v>Check publication/encoding redistribution terms only if this exact source is selected; Informative architecture document does not itself define OGC binding rules or prove ISA development lacked prior-art study.</x:v>
      </x:c>
      <x:c r="J90" s="317" t="str">
        <x:v>local:ISA_White_Paper-6.0r2.pdf</x:v>
      </x:c>
    </x:row>
    <x:row r="91" ht="74" customHeight="1">
      <x:c r="A91" s="316" t="str">
        <x:v>S86</x:v>
      </x:c>
      <x:c r="B91" s="317" t="str">
        <x:v>ISA Software Design Document 6.0</x:v>
      </x:c>
      <x:c r="C91" s="317" t="str">
        <x:v>Primary ISA PDF—bounded inspection</x:v>
      </x:c>
      <x:c r="D91" s="317" t="str">
        <x:v>Distribution A; separate copyright, code, security implementation and derivative-use review</x:v>
      </x:c>
      <x:c r="E91" s="317" t="str">
        <x:v>No blanket reuse permission inferred</x:v>
      </x:c>
      <x:c r="F91" s="317" t="str">
        <x:v>No native compliance or patent clearance established</x:v>
      </x:c>
      <x:c r="G91" s="317" t="str">
        <x:v>Full user-supplied PDF inspected, esp. §4.2.2 composition</x:v>
      </x:c>
      <x:c r="H91" s="317" t="str">
        <x:v>U.S. Army ISA</x:v>
      </x:c>
      <x:c r="I91" s="317" t="str">
        <x:v>Check publication/encoding redistribution terms only if this exact source is selected; ISA composition requires its own native runtime; copying visibility labels into SensorML would be an authored adaptation.</x:v>
      </x:c>
      <x:c r="J91" s="317" t="str">
        <x:v>local:ISA_Software_Design_Document-6.0r5.pdf</x:v>
      </x:c>
    </x:row>
    <x:row r="92" ht="74" customHeight="1">
      <x:c r="A92" s="316" t="str">
        <x:v>S87</x:v>
      </x:c>
      <x:c r="B92" s="317" t="str">
        <x:v>ISA Data Model Specification 6.0</x:v>
      </x:c>
      <x:c r="C92" s="317" t="str">
        <x:v>Primary ISA PDF—bounded inspection</x:v>
      </x:c>
      <x:c r="D92" s="317" t="str">
        <x:v>Distribution A; separate copyright, code, security implementation and derivative-use review</x:v>
      </x:c>
      <x:c r="E92" s="317" t="str">
        <x:v>No blanket reuse permission inferred</x:v>
      </x:c>
      <x:c r="F92" s="317" t="str">
        <x:v>No native compliance or patent clearance established</x:v>
      </x:c>
      <x:c r="G92" s="317" t="str">
        <x:v>Full PDF assessed in Phase 1/2, including CCD, Config/Status, commands, observables, resource descriptor</x:v>
      </x:c>
      <x:c r="H92" s="317" t="str">
        <x:v>U.S. Army ISA</x:v>
      </x:c>
      <x:c r="I92" s="317" t="str">
        <x:v>Check publication/encoding redistribution terms only if this exact source is selected; A conformant ISA implementation needs exact ISA message/codec requirements beyond translating a set of labels.</x:v>
      </x:c>
      <x:c r="J92" s="317" t="str">
        <x:v>local:ISA_Data_Model_Specification-6.0r12.pdf</x:v>
      </x:c>
    </x:row>
    <x:row r="93" ht="74" customHeight="1">
      <x:c r="A93" s="316" t="str">
        <x:v>S88</x:v>
      </x:c>
      <x:c r="B93" s="317" t="str">
        <x:v>ISA Component Requirements 6.0</x:v>
      </x:c>
      <x:c r="C93" s="317" t="str">
        <x:v>Primary ISA PDF—bounded inspection</x:v>
      </x:c>
      <x:c r="D93" s="317" t="str">
        <x:v>Distribution A; separate copyright, code, security implementation and derivative-use review</x:v>
      </x:c>
      <x:c r="E93" s="317" t="str">
        <x:v>No blanket reuse permission inferred</x:v>
      </x:c>
      <x:c r="F93" s="317" t="str">
        <x:v>No native compliance or patent clearance established</x:v>
      </x:c>
      <x:c r="G93" s="317" t="str">
        <x:v>Full PDF checked for mandatory behavior and ready/reporting semantics in Phase 2</x:v>
      </x:c>
      <x:c r="H93" s="317" t="str">
        <x:v>U.S. Army ISA</x:v>
      </x:c>
      <x:c r="I93" s="317" t="str">
        <x:v>Check publication/encoding redistribution terms only if this exact source is selected; Applies only to native ISA component obligations; OGC streams expose different live/state semantics.</x:v>
      </x:c>
      <x:c r="J93" s="317" t="str">
        <x:v>local:ISA_Component_Requirements-6.0r4.pdf</x:v>
      </x:c>
    </x:row>
    <x:row r="94" ht="74" customHeight="1">
      <x:c r="A94" s="316" t="str">
        <x:v>S89</x:v>
      </x:c>
      <x:c r="B94" s="317" t="str">
        <x:v>ISA Interface Control Document 6.0</x:v>
      </x:c>
      <x:c r="C94" s="317" t="str">
        <x:v>Primary ISA PDF—selected evidence</x:v>
      </x:c>
      <x:c r="D94" s="317" t="str">
        <x:v>Distribution A; separate copyright, code, security implementation and derivative-use review</x:v>
      </x:c>
      <x:c r="E94" s="317" t="str">
        <x:v>No blanket reuse permission inferred</x:v>
      </x:c>
      <x:c r="F94" s="317" t="str">
        <x:v>No native compliance or patent clearance established</x:v>
      </x:c>
      <x:c r="G94" s="317" t="str">
        <x:v>User-supplied PDF examined for interface and wire-communication obligations</x:v>
      </x:c>
      <x:c r="H94" s="317" t="str">
        <x:v>U.S. Army ISA</x:v>
      </x:c>
      <x:c r="I94" s="317" t="str">
        <x:v>Check publication/encoding redistribution terms only if this exact source is selected; No ISA transport added to MERLIN merely because information semantics are useful.</x:v>
      </x:c>
      <x:c r="J94" s="317" t="str">
        <x:v>local:ISA_Interface_Control_Document-6.0r5.pdf</x:v>
      </x:c>
    </x:row>
    <x:row r="95" ht="74" customHeight="1">
      <x:c r="A95" s="316" t="str">
        <x:v>S90</x:v>
      </x:c>
      <x:c r="B95" s="317" t="str">
        <x:v>ISA Data Model Topics 6.0</x:v>
      </x:c>
      <x:c r="C95" s="317" t="str">
        <x:v>Primary ISA PDF—bounded inspection</x:v>
      </x:c>
      <x:c r="D95" s="317" t="str">
        <x:v>Distribution A; separate copyright, code, security implementation and derivative-use review</x:v>
      </x:c>
      <x:c r="E95" s="317" t="str">
        <x:v>No blanket reuse permission inferred</x:v>
      </x:c>
      <x:c r="F95" s="317" t="str">
        <x:v>No native compliance or patent clearance established</x:v>
      </x:c>
      <x:c r="G95" s="317" t="str">
        <x:v>Full document reviewed for mutability, event updates and resource descriptors</x:v>
      </x:c>
      <x:c r="H95" s="317" t="str">
        <x:v>U.S. Army ISA</x:v>
      </x:c>
      <x:c r="I95" s="317" t="str">
        <x:v>Check publication/encoding redistribution terms only if this exact source is selected; Its concepts do not replace SensorML Settings, CSAPI Commands or the distinct SystemEvent lifecycle resource.</x:v>
      </x:c>
      <x:c r="J95" s="317" t="str">
        <x:v>local:ISA_Data_Model_Topics-6.0r2.pdf</x:v>
      </x:c>
    </x:row>
    <x:row r="96" ht="74" customHeight="1">
      <x:c r="A96" s="316" t="str">
        <x:v>S91</x:v>
      </x:c>
      <x:c r="B96" s="317" t="str">
        <x:v>ISA Controller Requirements 6.0</x:v>
      </x:c>
      <x:c r="C96" s="317" t="str">
        <x:v>Primary ISA PDF—selected evidence</x:v>
      </x:c>
      <x:c r="D96" s="317" t="str">
        <x:v>Distribution A; separate copyright, code, security implementation and derivative-use review</x:v>
      </x:c>
      <x:c r="E96" s="317" t="str">
        <x:v>No blanket reuse permission inferred</x:v>
      </x:c>
      <x:c r="F96" s="317" t="str">
        <x:v>No native compliance or patent clearance established</x:v>
      </x:c>
      <x:c r="G96" s="317" t="str">
        <x:v>Complete PDF supplied and reviewed in Phase 1; not re-audited clause-by-clause in Phase 2</x:v>
      </x:c>
      <x:c r="H96" s="317" t="str">
        <x:v>U.S. Army ISA</x:v>
      </x:c>
      <x:c r="I96" s="317" t="str">
        <x:v>Check publication/encoding redistribution terms only if this exact source is selected; Informative for architecture comparison; MERLIN neither deploys ISA Controller nor promises its requirements.</x:v>
      </x:c>
      <x:c r="J96" s="317" t="str">
        <x:v>local:ISA_Controller_Requirements-6.0r4.pdf</x:v>
      </x:c>
    </x:row>
    <x:row r="97" ht="74" customHeight="1">
      <x:c r="A97" s="316" t="str">
        <x:v>S92</x:v>
      </x:c>
      <x:c r="B97" s="317" t="str">
        <x:v>ISA Introductory Guide 6.0</x:v>
      </x:c>
      <x:c r="C97" s="317" t="str">
        <x:v>Primary ISA PDF—bounded inspection</x:v>
      </x:c>
      <x:c r="D97" s="317" t="str">
        <x:v>Distribution A; separate copyright, code, security implementation and derivative-use review</x:v>
      </x:c>
      <x:c r="E97" s="317" t="str">
        <x:v>No blanket reuse permission inferred</x:v>
      </x:c>
      <x:c r="F97" s="317" t="str">
        <x:v>No native compliance or patent clearance established</x:v>
      </x:c>
      <x:c r="G97" s="317" t="str">
        <x:v>Entire guide supplied and reviewed for terminology and introduction</x:v>
      </x:c>
      <x:c r="H97" s="317" t="str">
        <x:v>U.S. Army ISA</x:v>
      </x:c>
      <x:c r="I97" s="317" t="str">
        <x:v>Check publication/encoding redistribution terms only if this exact source is selected; Introductory prose does not override the normative requirements or demonstrate production deployment of any named vendor.</x:v>
      </x:c>
      <x:c r="J97" s="317" t="str">
        <x:v>local:ISA_Introductory_Guide-6.0r2.pdf</x:v>
      </x:c>
    </x:row>
    <x:row r="98" ht="74" customHeight="1">
      <x:c r="A98" s="316" t="str">
        <x:v>S93</x:v>
      </x:c>
      <x:c r="B98" s="317" t="str">
        <x:v>ISA Data Query Language Users Guide 6.0</x:v>
      </x:c>
      <x:c r="C98" s="317" t="str">
        <x:v>Primary ISA PDF—bounded inspection</x:v>
      </x:c>
      <x:c r="D98" s="317" t="str">
        <x:v>Distribution A; separate copyright, code, security implementation and derivative-use review</x:v>
      </x:c>
      <x:c r="E98" s="317" t="str">
        <x:v>No blanket reuse permission inferred</x:v>
      </x:c>
      <x:c r="F98" s="317" t="str">
        <x:v>No native compliance or patent clearance established</x:v>
      </x:c>
      <x:c r="G98" s="317" t="str">
        <x:v>Full guide supplied; examined primarily for data-discovery/query architecture</x:v>
      </x:c>
      <x:c r="H98" s="317" t="str">
        <x:v>U.S. Army ISA</x:v>
      </x:c>
      <x:c r="I98" s="317" t="str">
        <x:v>Check publication/encoding redistribution terms only if this exact source is selected; Not selected as an application-facing MERLIN query language and not a standard sensor-domain vocabulary.</x:v>
      </x:c>
      <x:c r="J98" s="317" t="str">
        <x:v>local:ISA_Data_Query_Language_Users_Guide-6.0r4.pdf</x:v>
      </x:c>
    </x:row>
    <x:row r="99" ht="74" customHeight="1">
      <x:c r="A99" s="316" t="str">
        <x:v>S94</x:v>
      </x:c>
      <x:c r="B99" s="317" t="str">
        <x:v>ISA IPL3 Usage Guide 6.0</x:v>
      </x:c>
      <x:c r="C99" s="317" t="str">
        <x:v>Primary ISA PDF—selected evidence</x:v>
      </x:c>
      <x:c r="D99" s="317" t="str">
        <x:v>Distribution A; separate copyright, code, security implementation and derivative-use review</x:v>
      </x:c>
      <x:c r="E99" s="317" t="str">
        <x:v>No blanket reuse permission inferred</x:v>
      </x:c>
      <x:c r="F99" s="317" t="str">
        <x:v>No native compliance or patent clearance established</x:v>
      </x:c>
      <x:c r="G99" s="317" t="str">
        <x:v>Complete guide supplied and included in assessment; targeted contextual review</x:v>
      </x:c>
      <x:c r="H99" s="317" t="str">
        <x:v>U.S. Army ISA</x:v>
      </x:c>
      <x:c r="I99" s="317" t="str">
        <x:v>Check publication/encoding redistribution terms only if this exact source is selected; This study did not claim clause-level adoption or execution testing of native IPL3 obligations.</x:v>
      </x:c>
      <x:c r="J99" s="317" t="str">
        <x:v>local:ISA_IPL3_Usage_Guide-6.0r4.pdf</x:v>
      </x:c>
    </x:row>
    <x:row r="100" ht="74" customHeight="1">
      <x:c r="A100" s="316" t="str">
        <x:v>S95</x:v>
      </x:c>
      <x:c r="B100" s="317" t="str">
        <x:v>ISA Certificate Usage Guide 6.0</x:v>
      </x:c>
      <x:c r="C100" s="317" t="str">
        <x:v>Primary ISA PDF—selected evidence</x:v>
      </x:c>
      <x:c r="D100" s="317" t="str">
        <x:v>Distribution A; separate copyright, code, security implementation and derivative-use review</x:v>
      </x:c>
      <x:c r="E100" s="317" t="str">
        <x:v>No blanket reuse permission inferred</x:v>
      </x:c>
      <x:c r="F100" s="317" t="str">
        <x:v>No native compliance or patent clearance established</x:v>
      </x:c>
      <x:c r="G100" s="317" t="str">
        <x:v>Complete PDF supplied; reviewed for architecture/security context</x:v>
      </x:c>
      <x:c r="H100" s="317" t="str">
        <x:v>U.S. Army ISA</x:v>
      </x:c>
      <x:c r="I100" s="317" t="str">
        <x:v>Check publication/encoding redistribution terms only if this exact source is selected; Does not establish sensor-information semantics or a MERLIN authentication requirement.</x:v>
      </x:c>
      <x:c r="J100" s="317" t="str">
        <x:v>local:ISA_Certificate_Usage_Guide-6.0r2.pdf</x:v>
      </x:c>
    </x:row>
    <x:row r="101" ht="74" customHeight="1">
      <x:c r="A101" s="316" t="str">
        <x:v>S96</x:v>
      </x:c>
      <x:c r="B101" s="317" t="str">
        <x:v>On the Difference between Information Models and Data Models</x:v>
      </x:c>
      <x:c r="C101" s="317" t="str">
        <x:v>Source consulted or compared at bounded depth</x:v>
      </x:c>
      <x:c r="D101" s="317" t="str">
        <x:v>Exact publisher rights to be checked before copying terms, ontologies, example data or code</x:v>
      </x:c>
      <x:c r="E101" s="317" t="str">
        <x:v>No blanket reuse permission inferred</x:v>
      </x:c>
      <x:c r="F101" s="317" t="str">
        <x:v>No native compliance or patent clearance established</x:v>
      </x:c>
      <x:c r="G101" s="317" t="str">
        <x:v>Published Informational RFC §§2–3 reviewed during ISA Phase 2</x:v>
      </x:c>
      <x:c r="H101" s="317" t="str">
        <x:v>IETF</x:v>
      </x:c>
      <x:c r="I101" s="317" t="str">
        <x:v>Check publication/encoding redistribution terms only if this exact source is selected; Citing RFC 3444 does not turn borrowed ISA/EMAN terminology into native implementation of either stack.</x:v>
      </x:c>
      <x:c r="J101" s="317" t="str">
        <x:v>https://www.rfc-editor.org/rfc/rfc3444.html</x:v>
      </x:c>
    </x:row>
    <x:row r="102" ht="74" customHeight="1">
      <x:c r="A102" s="316" t="str">
        <x:v>S97</x:v>
      </x:c>
      <x:c r="B102" s="317" t="str">
        <x:v>OGC Observations Measurements and Samples 3.0</x:v>
      </x:c>
      <x:c r="C102" s="317" t="str">
        <x:v>SOURCE ACCESS CLOSED — full primary PDF reviewed in completed OMS study.</x:v>
      </x:c>
      <x:c r="D102" s="317" t="str">
        <x:v>Exact publisher rights to be checked before copying terms, ontologies, example data or code</x:v>
      </x:c>
      <x:c r="E102" s="317" t="str">
        <x:v>No blanket reuse permission inferred</x:v>
      </x:c>
      <x:c r="F102" s="317" t="str">
        <x:v>No native compliance or patent clearance established</x:v>
      </x:c>
      <x:c r="G102" s="317" t="str">
        <x:v>Complete approved OGC 20-082r4 v3.0.0, 198-page supplied PDF; §§4–13 and Annex A inspected in 15 Oct OMS study.</x:v>
      </x:c>
      <x:c r="H102" s="317" t="str">
        <x:v>OGC</x:v>
      </x:c>
      <x:c r="I102" s="317" t="str">
        <x:v>Publisher rights still govern copying. Source access resolved; optional binding and exact claimed requirements remain separate choices.</x:v>
      </x:c>
      <x:c r="J102" s="317" t="str">
        <x:v>https://docs.ogc.org/as/20-082r4/20-082r4.html</x:v>
      </x:c>
    </x:row>
    <x:row r="103" ht="74" customHeight="1">
      <x:c r="A103" s="316" t="str">
        <x:v>S98</x:v>
      </x:c>
      <x:c r="B103" s="317" t="str">
        <x:v>Observation and Sampling of a Smiley Face</x:v>
      </x:c>
      <x:c r="C103" s="317" t="str">
        <x:v>Source consulted or compared at bounded depth</x:v>
      </x:c>
      <x:c r="D103" s="317" t="str">
        <x:v>Exact publisher rights to be checked before copying terms, ontologies, example data or code</x:v>
      </x:c>
      <x:c r="E103" s="317" t="str">
        <x:v>No blanket reuse permission inferred</x:v>
      </x:c>
      <x:c r="F103" s="317" t="str">
        <x:v>No native compliance or patent clearance established</x:v>
      </x:c>
      <x:c r="G103" s="317" t="str">
        <x:v>Complete user-supplied 26-page OGC technical paper read, pp.8–22 especially</x:v>
      </x:c>
      <x:c r="H103" s="317" t="str">
        <x:v>OGC</x:v>
      </x:c>
      <x:c r="I103" s="317" t="str">
        <x:v>Check publication/encoding redistribution terms only if this exact source is selected; Explicitly not an OGC Standard and cannot support normative conformance claims by itself.</x:v>
      </x:c>
      <x:c r="J103" s="317" t="str">
        <x:v>local:25-038.pdf</x:v>
      </x:c>
    </x:row>
    <x:row r="104" ht="74" customHeight="1">
      <x:c r="A104" s="316" t="str">
        <x:v>S99</x:v>
      </x:c>
      <x:c r="B104" s="317" t="str">
        <x:v>SOSA/SSN 2026 Working Draft</x:v>
      </x:c>
      <x:c r="C104" s="317" t="str">
        <x:v>Working Draft—non-final</x:v>
      </x:c>
      <x:c r="D104" s="317" t="str">
        <x:v>Exact publisher rights to be checked before copying terms, ontologies, example data or code</x:v>
      </x:c>
      <x:c r="E104" s="317" t="str">
        <x:v>No blanket reuse permission inferred</x:v>
      </x:c>
      <x:c r="F104" s="317" t="str">
        <x:v>No native compliance or patent clearance established</x:v>
      </x:c>
      <x:c r="G104" s="317" t="str">
        <x:v>Official Working Draft §§5.3–5.6, 6.1, 7.3.1 and non-normative appendix D inspected</x:v>
      </x:c>
      <x:c r="H104" s="317" t="str">
        <x:v>W3C and OGC</x:v>
      </x:c>
      <x:c r="I104" s="317" t="str">
        <x:v>Draft ontology alignment axioms are source-specific; §7.3 API correspondences are not OWL equivalence. Keep the 12 Oct draft version and publisher terms; no mandatory ontology stack.</x:v>
      </x:c>
      <x:c r="J104" s="317" t="str">
        <x:v>https://www.w3.org/TR/2026/WD-vocab-ssn-2023-20261012/</x:v>
      </x:c>
    </x:row>
    <x:row r="105" ht="74" customHeight="1">
      <x:c r="A105" s="316" t="str">
        <x:v>S100</x:v>
      </x:c>
      <x:c r="B105" s="317" t="str">
        <x:v>I-ADOPT WG Outputs and Recommendations</x:v>
      </x:c>
      <x:c r="C105" s="317" t="str">
        <x:v>Source consulted or compared at bounded depth</x:v>
      </x:c>
      <x:c r="D105" s="317" t="str">
        <x:v>Exact publisher rights to be checked before copying terms, ontologies, example data or code</x:v>
      </x:c>
      <x:c r="E105" s="317" t="str">
        <x:v>No blanket reuse permission inferred</x:v>
      </x:c>
      <x:c r="F105" s="317" t="str">
        <x:v>No native compliance or patent clearance established</x:v>
      </x:c>
      <x:c r="G105" s="317" t="str">
        <x:v>DOI/catalogue and bibliography verified in foundational review; full report not comprehensively inspected</x:v>
      </x:c>
      <x:c r="H105" s="317" t="str">
        <x:v>Research Data Alliance</x:v>
      </x:c>
      <x:c r="I105" s="317" t="str">
        <x:v>Check publication/encoding redistribution terms only if this exact source is selected; Endorsed recommendation is not an OGC standard, required RDF runtime or complete normative mapping.</x:v>
      </x:c>
      <x:c r="J105" s="317" t="str">
        <x:v>https://doi.org/10.15497/RDA00071</x:v>
      </x:c>
    </x:row>
    <x:row r="106" ht="74" customHeight="1">
      <x:c r="A106" s="316" t="str">
        <x:v>S101</x:v>
      </x:c>
      <x:c r="B106" s="317" t="str">
        <x:v>I-ADOPT Framework Ontology 1.1.0</x:v>
      </x:c>
      <x:c r="C106" s="317" t="str">
        <x:v>Community ontology—specific terms inspected</x:v>
      </x:c>
      <x:c r="D106" s="317" t="str">
        <x:v>Exact publisher rights to be checked before copying terms, ontologies, example data or code</x:v>
      </x:c>
      <x:c r="E106" s="317" t="str">
        <x:v>No blanket reuse permission inferred</x:v>
      </x:c>
      <x:c r="F106" s="317" t="str">
        <x:v>No native compliance or patent clearance established</x:v>
      </x:c>
      <x:c r="G106" s="317" t="str">
        <x:v>Published versioned HTML classes and properties inspected in foundational work</x:v>
      </x:c>
      <x:c r="H106" s="317" t="str">
        <x:v>I-ADOPT</x:v>
      </x:c>
      <x:c r="I106" s="317" t="str">
        <x:v>Check publication/encoding redistribution terms only if this exact source is selected; Ontology's System means a compound entity and must not be equated with CSAPI System.</x:v>
      </x:c>
      <x:c r="J106" s="317" t="str">
        <x:v>https://i-adopt.github.io/ontology/</x:v>
      </x:c>
    </x:row>
    <x:row r="107" ht="74" customHeight="1">
      <x:c r="A107" s="316" t="str">
        <x:v>S102</x:v>
      </x:c>
      <x:c r="B107" s="317" t="str">
        <x:v>I-ADOPT 1.1.0 pinned Turtle ontology</x:v>
      </x:c>
      <x:c r="C107" s="317" t="str">
        <x:v>Community ontology—specific terms inspected</x:v>
      </x:c>
      <x:c r="D107" s="317" t="str">
        <x:v>Exact publisher rights to be checked before copying terms, ontologies, example data or code</x:v>
      </x:c>
      <x:c r="E107" s="317" t="str">
        <x:v>No blanket reuse permission inferred</x:v>
      </x:c>
      <x:c r="F107" s="317" t="str">
        <x:v>No native compliance or patent clearance established</x:v>
      </x:c>
      <x:c r="G107" s="317" t="str">
        <x:v>Exact versioned Turtle source inspected from repository snapshot, not executed as full reasoner</x:v>
      </x:c>
      <x:c r="H107" s="317" t="str">
        <x:v>I-ADOPT</x:v>
      </x:c>
      <x:c r="I107" s="317" t="str">
        <x:v>Check publication/encoding redistribution terms only if this exact source is selected; Do not copy the entire graph into MERLIN or claim SHACL validation by selecting a few term URIs.</x:v>
      </x:c>
      <x:c r="J107" s="317" t="str">
        <x:v>https://github.com/i-adopt/ontology/blob/604a560a5826d4c9102060a85eca00b15dc30ef9/ontology/i-adopt_1_1_0.ttl</x:v>
      </x:c>
    </x:row>
    <x:row r="108" ht="74" customHeight="1">
      <x:c r="A108" s="316" t="str">
        <x:v>S103</x:v>
      </x:c>
      <x:c r="B108" s="317" t="str">
        <x:v>I-ADOPT Variable Design Patterns</x:v>
      </x:c>
      <x:c r="C108" s="317" t="str">
        <x:v>Source consulted or compared at bounded depth</x:v>
      </x:c>
      <x:c r="D108" s="317" t="str">
        <x:v>Exact publisher rights to be checked before copying terms, ontologies, example data or code</x:v>
      </x:c>
      <x:c r="E108" s="317" t="str">
        <x:v>No blanket reuse permission inferred</x:v>
      </x:c>
      <x:c r="F108" s="317" t="str">
        <x:v>No native compliance or patent clearance established</x:v>
      </x:c>
      <x:c r="G108" s="317" t="str">
        <x:v>README, quantitative patterns and architecture-decision records identified and selectively reviewed</x:v>
      </x:c>
      <x:c r="H108" s="317" t="str">
        <x:v>I-ADOPT</x:v>
      </x:c>
      <x:c r="I108" s="317" t="str">
        <x:v>Check publication/encoding redistribution terms only if this exact source is selected; Working community examples may evolve; they are not inherently normative or required MERLIN schemas.</x:v>
      </x:c>
      <x:c r="J108" s="317" t="str">
        <x:v>https://github.com/i-adopt/patterns</x:v>
      </x:c>
    </x:row>
    <x:row r="109" ht="74" customHeight="1">
      <x:c r="A109" s="316" t="str">
        <x:v>S104</x:v>
      </x:c>
      <x:c r="B109" s="317" t="str">
        <x:v>QUDT Catalog 3.5.2</x:v>
      </x:c>
      <x:c r="C109" s="317" t="str">
        <x:v>Source consulted or compared at bounded depth</x:v>
      </x:c>
      <x:c r="D109" s="317" t="str">
        <x:v>QUDT CC BY 4.0; exact term and version attribution</x:v>
      </x:c>
      <x:c r="E109" s="317" t="str">
        <x:v>No blanket reuse permission inferred</x:v>
      </x:c>
      <x:c r="F109" s="317" t="str">
        <x:v>No native compliance or patent clearance established</x:v>
      </x:c>
      <x:c r="G109" s="317" t="str">
        <x:v>Current official catalog plus selected quantity-kind term inspected</x:v>
      </x:c>
      <x:c r="H109" s="317" t="str">
        <x:v>QUDT</x:v>
      </x:c>
      <x:c r="I109" s="317" t="str">
        <x:v>Check publication/encoding redistribution terms only if this exact source is selected; QUDT vocabulary reuse does not require a full QUDT reasoner or prove that equivalent-looking definitions match.</x:v>
      </x:c>
      <x:c r="J109" s="317" t="str">
        <x:v>https://www.qudt.org/catalog/qudt-catalog.html</x:v>
      </x:c>
    </x:row>
    <x:row r="110" ht="74" customHeight="1">
      <x:c r="A110" s="316" t="str">
        <x:v>S105</x:v>
      </x:c>
      <x:c r="B110" s="317" t="str">
        <x:v>SWEET ontology repository</x:v>
      </x:c>
      <x:c r="C110" s="317" t="str">
        <x:v>Source consulted or compared at bounded depth</x:v>
      </x:c>
      <x:c r="D110" s="317" t="str">
        <x:v>Inspected SWEET module CC0; pin ontology revision and dependencies</x:v>
      </x:c>
      <x:c r="E110" s="317" t="str">
        <x:v>No blanket reuse permission inferred</x:v>
      </x:c>
      <x:c r="F110" s="317" t="str">
        <x:v>No native compliance or patent clearance established</x:v>
      </x:c>
      <x:c r="G110" s="317" t="str">
        <x:v>Official public ontology repository and selected module hierarchy inspected</x:v>
      </x:c>
      <x:c r="H110" s="317" t="str">
        <x:v>ESIP</x:v>
      </x:c>
      <x:c r="I110" s="317" t="str">
        <x:v>Check publication/encoding redistribution terms only if this exact source is selected; Repository master is mutable and imports can be extensive; do not indiscriminately copy all modules into MERLIN.</x:v>
      </x:c>
      <x:c r="J110" s="317" t="str">
        <x:v>https://github.com/ESIPFed/sweet</x:v>
      </x:c>
    </x:row>
    <x:row r="111" ht="74" customHeight="1">
      <x:c r="A111" s="316" t="str">
        <x:v>S106</x:v>
      </x:c>
      <x:c r="B111" s="317" t="str">
        <x:v>SWEET material instrument ontology module</x:v>
      </x:c>
      <x:c r="C111" s="317" t="str">
        <x:v>Source consulted or compared at bounded depth</x:v>
      </x:c>
      <x:c r="D111" s="317" t="str">
        <x:v>Inspected SWEET module CC0; pin ontology revision and dependencies</x:v>
      </x:c>
      <x:c r="E111" s="317" t="str">
        <x:v>No blanket reuse permission inferred</x:v>
      </x:c>
      <x:c r="F111" s="317" t="str">
        <x:v>No native compliance or patent clearance established</x:v>
      </x:c>
      <x:c r="G111" s="317" t="str">
        <x:v>Particular Turtle module inspected from ESIP repository, not all inter-module imports or axioms</x:v>
      </x:c>
      <x:c r="H111" s="317" t="str">
        <x:v>ESIP</x:v>
      </x:c>
      <x:c r="I111" s="317" t="str">
        <x:v>Check publication/encoding redistribution terms only if this exact source is selected; Pin adopted term IRIs and source revision before making them a dependency.</x:v>
      </x:c>
      <x:c r="J111" s="317" t="str">
        <x:v>https://github.com/ESIPFed/sweet/blob/master/src/matrInstrument.ttl</x:v>
      </x:c>
    </x:row>
    <x:row r="112" ht="74" customHeight="1">
      <x:c r="A112" s="316" t="str">
        <x:v>S107</x:v>
      </x:c>
      <x:c r="B112" s="317" t="str">
        <x:v>I-ADOPT OMS extension roadmap</x:v>
      </x:c>
      <x:c r="C112" s="317" t="str">
        <x:v>Unverified lead / public URL unavailable</x:v>
      </x:c>
      <x:c r="D112" s="317" t="str">
        <x:v>Exact publisher rights to be checked before copying terms, ontologies, example data or code</x:v>
      </x:c>
      <x:c r="E112" s="317" t="str">
        <x:v>No blanket reuse permission inferred</x:v>
      </x:c>
      <x:c r="F112" s="317" t="str">
        <x:v>No native compliance or patent clearance established</x:v>
      </x:c>
      <x:c r="G112" s="317" t="str">
        <x:v>URL attempted in foundational research but content inaccessible; secondary project report only</x:v>
      </x:c>
      <x:c r="H112" s="317" t="str">
        <x:v>I-ADOPT</x:v>
      </x:c>
      <x:c r="I112" s="317" t="str">
        <x:v>Check publication/encoding redistribution terms only if this exact source is selected; No published approved extension or directly inspected normative text has been established.</x:v>
      </x:c>
      <x:c r="J112" s="317" t="str">
        <x:v>https://i-adopt.github.io/overview.html</x:v>
      </x:c>
    </x:row>
    <x:row r="113" ht="74" customHeight="1">
      <x:c r="A113" s="316" t="str">
        <x:v>S108</x:v>
      </x:c>
      <x:c r="B113" s="317" t="str">
        <x:v>I-ADOPT patterns playground</x:v>
      </x:c>
      <x:c r="C113" s="317" t="str">
        <x:v>Source consulted or compared at bounded depth</x:v>
      </x:c>
      <x:c r="D113" s="317" t="str">
        <x:v>Exact publisher rights to be checked before copying terms, ontologies, example data or code</x:v>
      </x:c>
      <x:c r="E113" s="317" t="str">
        <x:v>No blanket reuse permission inferred</x:v>
      </x:c>
      <x:c r="F113" s="317" t="str">
        <x:v>No native compliance or patent clearance established</x:v>
      </x:c>
      <x:c r="G113" s="317" t="str">
        <x:v>Repository README and directory organization verified as current community experiment</x:v>
      </x:c>
      <x:c r="H113" s="317" t="str">
        <x:v>I-ADOPT</x:v>
      </x:c>
      <x:c r="I113" s="317" t="str">
        <x:v>Check publication/encoding redistribution terms only if this exact source is selected; A contributor's working repository is not an approved RDA recommendation or a standardized CSAPI mapping.</x:v>
      </x:c>
      <x:c r="J113" s="317" t="str">
        <x:v>https://github.com/mabablue/I-ADOPT-patterns-playground</x:v>
      </x:c>
    </x:row>
    <x:row r="114" ht="74" customHeight="1">
      <x:c r="A114" s="316" t="str">
        <x:v>S109</x:v>
      </x:c>
      <x:c r="B114" s="317" t="str">
        <x:v>QUDT quantity kind Concentration</x:v>
      </x:c>
      <x:c r="C114" s="317" t="str">
        <x:v>Source consulted or compared at bounded depth</x:v>
      </x:c>
      <x:c r="D114" s="317" t="str">
        <x:v>QUDT CC BY 4.0; exact term and version attribution</x:v>
      </x:c>
      <x:c r="E114" s="317" t="str">
        <x:v>No blanket reuse permission inferred</x:v>
      </x:c>
      <x:c r="F114" s="317" t="str">
        <x:v>No native compliance or patent clearance established</x:v>
      </x:c>
      <x:c r="G114" s="317" t="str">
        <x:v>Official term page directly inspected in foundational review; term record edition not silently equated with current v3.5.2 catalog</x:v>
      </x:c>
      <x:c r="H114" s="317" t="str">
        <x:v>QUDT</x:v>
      </x:c>
      <x:c r="I114" s="317" t="str">
        <x:v>Check publication/encoding redistribution terms only if this exact source is selected; Do not use the broad term to assert analyte identity, measurement medium, concentration basis or sampling situation.</x:v>
      </x:c>
      <x:c r="J114" s="317" t="str">
        <x:v>http://qudt.org/vocab/quantitykind/Concentration</x:v>
      </x:c>
    </x:row>
    <x:row r="115" ht="74" customHeight="1">
      <x:c r="A115" s="304" t="str">
        <x:v>S110</x:v>
      </x:c>
      <x:c r="B115" s="304" t="str">
        <x:v>SAPIENT Network of Autonomous Sensors and Effectors—Interface Control Document—Specification</x:v>
      </x:c>
      <x:c r="C115" s="304" t="str">
        <x:v>Full primary specification reviewed in completed SAPIENT study; this consolidation inherits that inspected evidence.</x:v>
      </x:c>
      <x:c r="D115" s="304" t="str">
        <x:v>Use exact publisher/repository terms; no blanket legal clearance.</x:v>
      </x:c>
      <x:c r="E115" s="304" t="str">
        <x:v>Semantic reuse or selected encoding only as documented.</x:v>
      </x:c>
      <x:c r="F115" s="304" t="str">
        <x:v>No new native implementation or patent clearance.</x:v>
      </x:c>
      <x:c r="G115" s="304" t="str">
        <x:v>§§0–7; especially §§4.10–4.11, 5.5, 6.2–6.5; Tables 13–15, 27, 32, 60, 69, 77, 86–87.</x:v>
      </x:c>
      <x:c r="H115" s="304" t="str">
        <x:v>British Standards Institution</x:v>
      </x:c>
      <x:c r="I115" s="304" t="str">
        <x:v>SAPIENT v3 not examined; six study variance records retained; no live adapter.</x:v>
      </x:c>
      <x:c r="J115" s="304" t="str">
        <x:v>https://www.bsigroup.com/siteassets/pdf/en/insights-and-media/insights/brochures/bsi-flex-335.pdf</x:v>
      </x:c>
    </x:row>
    <x:row r="116" ht="74" customHeight="1">
      <x:c r="A116" s="304" t="str">
        <x:v>S111</x:v>
      </x:c>
      <x:c r="B116" s="304" t="str">
        <x:v>SAPIENT-Proto-Files: bsi_flex_335_v2_0</x:v>
      </x:c>
      <x:c r="C116" s="304" t="str">
        <x:v>Primary implementation schema inspected in completed study; commit and blob register retained.</x:v>
      </x:c>
      <x:c r="D116" s="304" t="str">
        <x:v>Use exact publisher/repository terms; no blanket legal clearance.</x:v>
      </x:c>
      <x:c r="E116" s="304" t="str">
        <x:v>Semantic reuse or selected encoding only as documented.</x:v>
      </x:c>
      <x:c r="F116" s="304" t="str">
        <x:v>No new native implementation or patent clearance.</x:v>
      </x:c>
      <x:c r="G116" s="304" t="str">
        <x:v>16 .proto artifacts; registration, detection_report, status_report, task, task_ack, associated_detection, follow and proto_options.</x:v>
      </x:c>
      <x:c r="H116" s="304" t="str">
        <x:v>Defence Science and Technology Laboratory</x:v>
      </x:c>
      <x:c r="I116" s="304" t="str">
        <x:v>No source execution; publisher/code differences remain unresolved.</x:v>
      </x:c>
      <x:c r="J116" s="304" t="str">
        <x:v>https://github.com/dstl/SAPIENT-Proto-Files/tree/244a741c13bcee628f84944aef91e4a66854bd7d/bsi_flex_335_v2_0</x:v>
      </x:c>
    </x:row>
    <x:row r="117" ht="74" customHeight="1">
      <x:c r="A117" s="304" t="str">
        <x:v>S112</x:v>
      </x:c>
      <x:c r="B117" s="304" t="str">
        <x:v>BSI-Flex-335-v2-Test-Harness</x:v>
      </x:c>
      <x:c r="C117" s="304" t="str">
        <x:v>Developer documentation inspected; tool not run.</x:v>
      </x:c>
      <x:c r="D117" s="304" t="str">
        <x:v>Use exact publisher/repository terms; no blanket legal clearance.</x:v>
      </x:c>
      <x:c r="E117" s="304" t="str">
        <x:v>Semantic reuse or selected encoding only as documented.</x:v>
      </x:c>
      <x:c r="F117" s="304" t="str">
        <x:v>No new native implementation or patent clearance.</x:v>
      </x:c>
      <x:c r="G117" s="304" t="str">
        <x:v>README: supported version, environment and known issues.</x:v>
      </x:c>
      <x:c r="H117" s="304" t="str">
        <x:v>Defence Science and Technology Laboratory</x:v>
      </x:c>
      <x:c r="I117" s="304" t="str">
        <x:v>Harness availability does not equal certification.</x:v>
      </x:c>
      <x:c r="J117" s="304" t="str">
        <x:v>https://github.com/dstl/BSI-Flex-335-v2-Test-Harness/tree/6a2999d70d761d224914ddd8fa3f663af5005be0</x:v>
      </x:c>
    </x:row>
    <x:row r="118" ht="74" customHeight="1">
      <x:c r="A118" s="304" t="str">
        <x:v>S113</x:v>
      </x:c>
      <x:c r="B118" s="304" t="str">
        <x:v>Apex-SAPIENT-Middleware</x:v>
      </x:c>
      <x:c r="C118" s="304" t="str">
        <x:v>Implementation documentation and selected server source inspected; not run.</x:v>
      </x:c>
      <x:c r="D118" s="304" t="str">
        <x:v>Use exact publisher/repository terms; no blanket legal clearance.</x:v>
      </x:c>
      <x:c r="E118" s="304" t="str">
        <x:v>Semantic reuse or selected encoding only as documented.</x:v>
      </x:c>
      <x:c r="F118" s="304" t="str">
        <x:v>No new native implementation or patent clearance.</x:v>
      </x:c>
      <x:c r="G118" s="304" t="str">
        <x:v>README; sapient_apex_api/server.py.</x:v>
      </x:c>
      <x:c r="H118" s="304" t="str">
        <x:v>Dstl / Roke source</x:v>
      </x:c>
      <x:c r="I118" s="304" t="str">
        <x:v>No evidence of a deployed MERLIN/Apex adapter.</x:v>
      </x:c>
      <x:c r="J118" s="304" t="str">
        <x:v>https://github.com/dstl/Apex-SAPIENT-Middleware/tree/0c8591ae97f2dc336eff299845880d5c73ee75b7</x:v>
      </x:c>
    </x:row>
    <x:row r="119" ht="74" customHeight="1">
      <x:c r="A119" s="304" t="str">
        <x:v>S114</x:v>
      </x:c>
      <x:c r="B119" s="304" t="str">
        <x:v>Technical Standard for SOSA Reference Architecture, Edition 1.1</x:v>
      </x:c>
      <x:c r="C119" s="304" t="str">
        <x:v>Full publisher PDF reviewed in completed SOSA study; inherited clause evidence.</x:v>
      </x:c>
      <x:c r="D119" s="304" t="str">
        <x:v>Use exact publisher/repository terms; no blanket legal clearance.</x:v>
      </x:c>
      <x:c r="E119" s="304" t="str">
        <x:v>Semantic reuse or selected encoding only as documented.</x:v>
      </x:c>
      <x:c r="F119" s="304" t="str">
        <x:v>No new native implementation or patent clearance.</x:v>
      </x:c>
      <x:c r="G119" s="304" t="str">
        <x:v>403-page c239_5.pdf; §§1.2–1.3, 3.2, 6.2.1, 12.11; Appendix B.</x:v>
      </x:c>
      <x:c r="H119" s="304" t="str">
        <x:v>The Open Group</x:v>
      </x:c>
      <x:c r="I119" s="304" t="str">
        <x:v>DISR record lacks edition; no source-provider mapping or certification completed.</x:v>
      </x:c>
      <x:c r="J119" s="304" t="str">
        <x:v>https://publications.opengroup.org/c239</x:v>
      </x:c>
    </x:row>
    <x:row r="120" ht="74" customHeight="1">
      <x:c r="A120" s="304" t="str">
        <x:v>S115</x:v>
      </x:c>
      <x:c r="B120" s="304" t="str">
        <x:v>SOSA Domain-Specific Data Model, Edition 1.0, and IDL companion</x:v>
      </x:c>
      <x:c r="C120" s="304" t="str">
        <x:v>152-page PDF and 227 IDL files reviewed in SOSA study; inherited evidence.</x:v>
      </x:c>
      <x:c r="D120" s="304" t="str">
        <x:v>Use exact publisher/repository terms; no blanket legal clearance.</x:v>
      </x:c>
      <x:c r="E120" s="304" t="str">
        <x:v>Semantic reuse or selected encoding only as documented.</x:v>
      </x:c>
      <x:c r="F120" s="304" t="str">
        <x:v>No new native implementation or patent clearance.</x:v>
      </x:c>
      <x:c r="G120" s="304" t="str">
        <x:v>DSDM conceptual/logical/physical model; §§1.1.3.80–81 PowerBus/PowerPort; Appendix B.1 authority.</x:v>
      </x:c>
      <x:c r="H120" s="304" t="str">
        <x:v>The Open Group</x:v>
      </x:c>
      <x:c r="I120" s="304" t="str">
        <x:v>Normative companion role inherited from source review, not independent registry status.</x:v>
      </x:c>
      <x:c r="J120" s="304" t="str">
        <x:v>https://publications.opengroup.org/c239</x:v>
      </x:c>
    </x:row>
    <x:row r="121" ht="74" customHeight="1">
      <x:c r="A121" s="304" t="str">
        <x:v>S116</x:v>
      </x:c>
      <x:c r="B121" s="304" t="str">
        <x:v>SOSA in-band management OpenAPI definitions</x:v>
      </x:c>
      <x:c r="C121" s="304" t="str">
        <x:v>Six JSON API documents parsed and compared by SOSA study; no endpoint executed.</x:v>
      </x:c>
      <x:c r="D121" s="304" t="str">
        <x:v>Use exact publisher/repository terms; no blanket legal clearance.</x:v>
      </x:c>
      <x:c r="E121" s="304" t="str">
        <x:v>Semantic reuse or selected encoding only as documented.</x:v>
      </x:c>
      <x:c r="F121" s="304" t="str">
        <x:v>No new native implementation or patent clearance.</x:v>
      </x:c>
      <x:c r="G121" s="304" t="str">
        <x:v>Chassis Manager, Module, PIC, Security Services, Software RTE, System Manager; C239 Rule 6.2.1-2.</x:v>
      </x:c>
      <x:c r="H121" s="304" t="str">
        <x:v>The Open Group</x:v>
      </x:c>
      <x:c r="I121" s="304" t="str">
        <x:v>No API calls, role certification or source implementation selected.</x:v>
      </x:c>
      <x:c r="J121" s="304" t="str">
        <x:v>https://publications.opengroup.org/c239</x:v>
      </x:c>
    </x:row>
    <x:row r="122" ht="74" customHeight="1">
      <x:c r="A122" s="304" t="str">
        <x:v>S117</x:v>
      </x:c>
      <x:c r="B122" s="304" t="str">
        <x:v>Technical Standard for SOSA Reference Architecture, Edition 2.0 (Snapshot 3)</x:v>
      </x:c>
      <x:c r="C122" s="304" t="str">
        <x:v>Publisher snapshot and companion inventory reviewed in SOSA study; developmental evidence.</x:v>
      </x:c>
      <x:c r="D122" s="304" t="str">
        <x:v>Use exact publisher/repository terms; no blanket legal clearance.</x:v>
      </x:c>
      <x:c r="E122" s="304" t="str">
        <x:v>Semantic reuse or selected encoding only as documented.</x:v>
      </x:c>
      <x:c r="F122" s="304" t="str">
        <x:v>No new native implementation or patent clearance.</x:v>
      </x:c>
      <x:c r="G122" s="304" t="str">
        <x:v>592-page primary PDF; DSDM ICD, FACE3.1 model, IDL, six APIs and specialized appendices.</x:v>
      </x:c>
      <x:c r="H122" s="304" t="str">
        <x:v>The Open Group</x:v>
      </x:c>
      <x:c r="I122" s="304" t="str">
        <x:v>Snapshot standing retained; no later adoption inferred.</x:v>
      </x:c>
      <x:c r="J122" s="304" t="str">
        <x:v>https://publications.opengroup.org/standards/s251</x:v>
      </x:c>
    </x:row>
    <x:row r="123" ht="74" customHeight="1">
      <x:c r="A123" s="304" t="str">
        <x:v>S118</x:v>
      </x:c>
      <x:c r="B123" s="304" t="str">
        <x:v>Standardization Decisions for a Modular Open Systems Approach (MOSA)</x:v>
      </x:c>
      <x:c r="C123" s="304" t="str">
        <x:v>Official catalog metadata; full guidance not inspected in completed SOSA study.</x:v>
      </x:c>
      <x:c r="D123" s="304" t="str">
        <x:v>Use exact publisher/repository terms; no blanket legal clearance.</x:v>
      </x:c>
      <x:c r="E123" s="304" t="str">
        <x:v>Semantic reuse or selected encoding only as documented.</x:v>
      </x:c>
      <x:c r="F123" s="304" t="str">
        <x:v>No new native implementation or patent clearance.</x:v>
      </x:c>
      <x:c r="G123" s="304" t="str">
        <x:v>ASSIST title, date and non-prescriptive scope; record rechecked 17 October.</x:v>
      </x:c>
      <x:c r="H123" s="304" t="str">
        <x:v>Defense Logistics Agency</x:v>
      </x:c>
      <x:c r="I123" s="304" t="str">
        <x:v>Catalog scope only, not a technical conformance source.</x:v>
      </x:c>
      <x:c r="J123" s="304" t="str">
        <x:v>https://quicksearch.dla.mil/qsDocDetails.aspx?ident_number=286891</x:v>
      </x:c>
    </x:row>
    <x:row r="124" ht="74" customHeight="1">
      <x:c r="A124" s="304" t="str">
        <x:v>S119</x:v>
      </x:c>
      <x:c r="B124" s="304" t="str">
        <x:v>Modular Open Systems Approach Portfolio: HOST, FACE, SOSA, UCS, and Open Mission Systems</x:v>
      </x:c>
      <x:c r="C124" s="304" t="str">
        <x:v>Official notice metadata; no full notice review claimed.</x:v>
      </x:c>
      <x:c r="D124" s="304" t="str">
        <x:v>Use exact publisher/repository terms; no blanket legal clearance.</x:v>
      </x:c>
      <x:c r="E124" s="304" t="str">
        <x:v>Semantic reuse or selected encoding only as documented.</x:v>
      </x:c>
      <x:c r="F124" s="304" t="str">
        <x:v>No new native implementation or patent clearance.</x:v>
      </x:c>
      <x:c r="G124" s="304" t="str">
        <x:v>ASSIST title, notice identity and date; metadata rechecked 17 October.</x:v>
      </x:c>
      <x:c r="H124" s="304" t="str">
        <x:v>Defense Logistics Agency</x:v>
      </x:c>
      <x:c r="I124" s="304" t="str">
        <x:v>Open Mission Systems is not OGC OMS; no model alignment inferred.</x:v>
      </x:c>
      <x:c r="J124" s="304" t="str">
        <x:v>https://quicksearch.dla.mil/qsDocDetails.aspx?ident_number=284706</x:v>
      </x:c>
    </x:row>
    <x:row r="125" ht="74" customHeight="1">
      <x:c r="A125" s="304" t="str">
        <x:v>S120</x:v>
      </x:c>
      <x:c r="B125" s="304" t="str">
        <x:v>United States Code, title 10, §§4401–4403</x:v>
      </x:c>
      <x:c r="C125" s="304" t="str">
        <x:v>Contextual source citation inherited from SOSA assessment; no fresh legal review.</x:v>
      </x:c>
      <x:c r="D125" s="304" t="str">
        <x:v>Use exact publisher/repository terms; no blanket legal clearance.</x:v>
      </x:c>
      <x:c r="E125" s="304" t="str">
        <x:v>Semantic reuse or selected encoding only as documented.</x:v>
      </x:c>
      <x:c r="F125" s="304" t="str">
        <x:v>No new native implementation or patent clearance.</x:v>
      </x:c>
      <x:c r="G125" s="304" t="str">
        <x:v>Title 10 §§4401–4403, as cited by the study.</x:v>
      </x:c>
      <x:c r="H125" s="304" t="str">
        <x:v>United States</x:v>
      </x:c>
      <x:c r="I125" s="304" t="str">
        <x:v>Mutable statutory locator; source-study citation depth only.</x:v>
      </x:c>
      <x:c r="J125" s="304" t="str">
        <x:v>https://uscode.house.gov/view.xhtml?edition=prelim&amp;f=treesort&amp;req=(title:10%20section:4401%20edition:prelim)</x:v>
      </x:c>
    </x:row>
    <x:row r="126" ht="74" customHeight="1">
      <x:c r="A126" s="304" t="str">
        <x:v>S121</x:v>
      </x:c>
      <x:c r="B126" s="304" t="str">
        <x:v>CSAPI Part 1 v1.0 property-definition JSON schema subset</x:v>
      </x:c>
      <x:c r="C126" s="304" t="str">
        <x:v>Selected public schemas inspected in approved increment; raw publisher bytes/dependency closure not fully recovered.</x:v>
      </x:c>
      <x:c r="D126" s="304" t="str">
        <x:v>Use exact publisher/repository terms; no blanket legal clearance.</x:v>
      </x:c>
      <x:c r="E126" s="304" t="str">
        <x:v>Semantic reuse or selected encoding only as documented.</x:v>
      </x:c>
      <x:c r="F126" s="304" t="str">
        <x:v>No new native implementation or patent clearance.</x:v>
      </x:c>
      <x:c r="G126" s="304" t="str">
        <x:v>property.json; OGC 23-001 §§15.2 and 19.2.8</x:v>
      </x:c>
      <x:c r="H126" s="304" t="str">
        <x:v>Open Geospatial Consortium</x:v>
      </x:c>
      <x:c r="I126" s="304" t="str">
        <x:v>Exact schema dependency closure and immutable publisher bytes incomplete; no native donor proof.</x:v>
      </x:c>
      <x:c r="J126" s="304" t="str">
        <x:v>https://schemas.opengis.net/ogcapi/connected-systems/part1/1.0/openapi/schemas/sensorml/property.json</x:v>
      </x:c>
    </x:row>
    <x:row r="127" ht="74" customHeight="1">
      <x:c r="A127" s="304" t="str">
        <x:v>S122</x:v>
      </x:c>
      <x:c r="B127" s="304" t="str">
        <x:v>CSAPI Part 2 v1.0 DataStream and Observation JSON schema subset</x:v>
      </x:c>
      <x:c r="C127" s="304" t="str">
        <x:v>Selected public schemas inspected in approved increment; raw publisher bytes/dependency closure not fully recovered.</x:v>
      </x:c>
      <x:c r="D127" s="304" t="str">
        <x:v>Use exact publisher/repository terms; no blanket legal clearance.</x:v>
      </x:c>
      <x:c r="E127" s="304" t="str">
        <x:v>Semantic reuse or selected encoding only as documented.</x:v>
      </x:c>
      <x:c r="F127" s="304" t="str">
        <x:v>No new native implementation or patent clearance.</x:v>
      </x:c>
      <x:c r="G127" s="304" t="str">
        <x:v>dataStream.json and observation.json; OGC 23-002 §§9.2 and 9.7.2</x:v>
      </x:c>
      <x:c r="H127" s="304" t="str">
        <x:v>Open Geospatial Consortium</x:v>
      </x:c>
      <x:c r="I127" s="304" t="str">
        <x:v>Exact schema dependency closure and immutable publisher bytes incomplete; no native donor proof.</x:v>
      </x:c>
      <x:c r="J127" s="304" t="str">
        <x:v>https://schemas.opengis.net/ogcapi/connected-systems/part2/1.0/openapi/schemas/json/dataStream.json</x:v>
      </x:c>
    </x:row>
    <x:row r="128" ht="74" customHeight="1">
      <x:c r="A128" s="304" t="str">
        <x:v>S123</x:v>
      </x:c>
      <x:c r="B128" s="304" t="str">
        <x:v>SWE Common 3.0 Quantity and basic-types JSON schema subset</x:v>
      </x:c>
      <x:c r="C128" s="304" t="str">
        <x:v>Selected public schemas inspected in approved increment; raw publisher bytes/dependency closure not fully recovered.</x:v>
      </x:c>
      <x:c r="D128" s="304" t="str">
        <x:v>Use exact publisher/repository terms; no blanket legal clearance.</x:v>
      </x:c>
      <x:c r="E128" s="304" t="str">
        <x:v>Semantic reuse or selected encoding only as documented.</x:v>
      </x:c>
      <x:c r="F128" s="304" t="str">
        <x:v>No new native implementation or patent clearance.</x:v>
      </x:c>
      <x:c r="G128" s="304" t="str">
        <x:v>Quantity.json and basicTypes.json; OGC 24-014 §§8.2.16 and 9.1.15</x:v>
      </x:c>
      <x:c r="H128" s="304" t="str">
        <x:v>Open Geospatial Consortium</x:v>
      </x:c>
      <x:c r="I128" s="304" t="str">
        <x:v>Exact schema dependency closure and immutable publisher bytes incomplete; no native donor proof.</x:v>
      </x:c>
      <x:c r="J128" s="304" t="str">
        <x:v>https://schemas.opengis.net/sweCommon/3.0/json/Quantity.json</x:v>
      </x:c>
    </x:row>
    <x:row r="129" ht="74" customHeight="1">
      <x:c r="A129" s="304" t="str">
        <x:v>S124</x:v>
      </x:c>
      <x:c r="B129" s="304" t="str">
        <x:v>SAPIENT networked autonomous sensing</x:v>
      </x:c>
      <x:c r="C129" s="304" t="str">
        <x:v>Official guidance version/date rechecked; technical claims remain grounded in BSI v2 study.</x:v>
      </x:c>
      <x:c r="D129" s="304" t="str">
        <x:v>Use exact publisher/repository terms; no blanket legal clearance.</x:v>
      </x:c>
      <x:c r="E129" s="304" t="str">
        <x:v>Semantic reuse or selected encoding only as documented.</x:v>
      </x:c>
      <x:c r="F129" s="304" t="str">
        <x:v>No new native implementation or patent clearance.</x:v>
      </x:c>
      <x:c r="G129" s="304" t="str">
        <x:v>Guidance title and update history; source study references.</x:v>
      </x:c>
      <x:c r="H129" s="304" t="str">
        <x:v>Defence Science and Technology Laboratory</x:v>
      </x:c>
      <x:c r="I129" s="304" t="str">
        <x:v>Historical OSUS wording not found in current page; preserve S51 inspection provenance.</x:v>
      </x:c>
      <x:c r="J129" s="304" t="str">
        <x:v>https://www.gov.uk/guidance/sapient-autonomous-sensor-system</x:v>
      </x:c>
    </x:row>
    <x:row r="130" ht="175" customHeight="1">
      <x:c r="A130" s="28" t="str">
        <x:v>S125</x:v>
      </x:c>
      <x:c r="B130" s="28" t="str">
        <x:v>N42-2011 Radiation Portal Monitor example</x:v>
      </x:c>
      <x:c r="C130" s="28" t="str">
        <x:v>Public primary text or index at stated inspection depth</x:v>
      </x:c>
      <x:c r="D130" s="28" t="str">
        <x:v>Applicable publisher/repository notices govern; no full external source republished here</x:v>
      </x:c>
      <x:c r="E130" s="28" t="str">
        <x:v>Use cited definitions with exact attribution; no independent rights clearance asserted</x:v>
      </x:c>
      <x:c r="F130" s="28" t="str">
        <x:v>No patent or licensing clearance inferred</x:v>
      </x:c>
      <x:c r="G130" s="28" t="str">
        <x:v>See inspection/access register</x:v>
      </x:c>
      <x:c r="H130" s="28" t="str">
        <x:v>NIST</x:v>
      </x:c>
      <x:c r="I130" s="28" t="str">
        <x:v>Verify chosen edition and license before redistribution/native implementation</x:v>
      </x:c>
      <x:c r="J130" s="28" t="str">
        <x:v>https://www.nist.gov/pml/radiation-physics/n42-2011/n42-2011-radiation-portal-monitor</x:v>
      </x:c>
    </x:row>
    <x:row r="131" ht="175" customHeight="1">
      <x:c r="A131" s="28" t="str">
        <x:v>S126</x:v>
      </x:c>
      <x:c r="B131" s="28" t="str">
        <x:v>N42-2011 Spectroscopic Radiation Portal Monitor example</x:v>
      </x:c>
      <x:c r="C131" s="28" t="str">
        <x:v>Public primary text or index at stated inspection depth</x:v>
      </x:c>
      <x:c r="D131" s="28" t="str">
        <x:v>Applicable publisher/repository notices govern; no full external source republished here</x:v>
      </x:c>
      <x:c r="E131" s="28" t="str">
        <x:v>Use cited definitions with exact attribution; no independent rights clearance asserted</x:v>
      </x:c>
      <x:c r="F131" s="28" t="str">
        <x:v>No patent or licensing clearance inferred</x:v>
      </x:c>
      <x:c r="G131" s="28" t="str">
        <x:v>See inspection/access register</x:v>
      </x:c>
      <x:c r="H131" s="28" t="str">
        <x:v>NIST</x:v>
      </x:c>
      <x:c r="I131" s="28" t="str">
        <x:v>Verify chosen edition and license before redistribution/native implementation</x:v>
      </x:c>
      <x:c r="J131" s="28" t="str">
        <x:v>https://www.nist.gov/pml/radiation-physics/n42-2011/n42-2011-spectroscopic-radiation-portal-monitor</x:v>
      </x:c>
    </x:row>
    <x:row r="132" ht="175" customHeight="1">
      <x:c r="A132" s="28" t="str">
        <x:v>S127</x:v>
      </x:c>
      <x:c r="B132" s="28" t="str">
        <x:v>ANSI/IEEE N42.42-2020 Version: schema and example distribution index</x:v>
      </x:c>
      <x:c r="C132" s="28" t="str">
        <x:v>Public primary text or index at stated inspection depth</x:v>
      </x:c>
      <x:c r="D132" s="28" t="str">
        <x:v>Applicable publisher/repository notices govern; no full external source republished here</x:v>
      </x:c>
      <x:c r="E132" s="28" t="str">
        <x:v>Use cited definitions with exact attribution; no independent rights clearance asserted</x:v>
      </x:c>
      <x:c r="F132" s="28" t="str">
        <x:v>No patent or licensing clearance inferred</x:v>
      </x:c>
      <x:c r="G132" s="28" t="str">
        <x:v>See inspection/access register</x:v>
      </x:c>
      <x:c r="H132" s="28" t="str">
        <x:v>NIST / IEEE</x:v>
      </x:c>
      <x:c r="I132" s="28" t="str">
        <x:v>Verify chosen edition and license before redistribution/native implementation</x:v>
      </x:c>
      <x:c r="J132" s="28" t="str">
        <x:v>https://www.nist.gov/pml/radiation-physics/ansiieee-n4242-2020-version</x:v>
      </x:c>
    </x:row>
    <x:row r="133" ht="175" customHeight="1">
      <x:c r="A133" s="28" t="str">
        <x:v>S128</x:v>
      </x:c>
      <x:c r="B133" s="28" t="str">
        <x:v>PROV-DM: The PROV Data Model</x:v>
      </x:c>
      <x:c r="C133" s="28" t="str">
        <x:v>Public primary text or index at stated inspection depth</x:v>
      </x:c>
      <x:c r="D133" s="28" t="str">
        <x:v>Applicable publisher/repository notices govern; no full external source republished here</x:v>
      </x:c>
      <x:c r="E133" s="28" t="str">
        <x:v>Use cited definitions with exact attribution; no independent rights clearance asserted</x:v>
      </x:c>
      <x:c r="F133" s="28" t="str">
        <x:v>No patent or licensing clearance inferred</x:v>
      </x:c>
      <x:c r="G133" s="28" t="str">
        <x:v>See inspection/access register</x:v>
      </x:c>
      <x:c r="H133" s="28" t="str">
        <x:v>W3C</x:v>
      </x:c>
      <x:c r="I133" s="28" t="str">
        <x:v>Verify chosen edition and license before redistribution/native implementation</x:v>
      </x:c>
      <x:c r="J133" s="28" t="str">
        <x:v>https://www.w3.org/TR/2013/REC-prov-dm-20130430/</x:v>
      </x:c>
    </x:row>
    <x:row r="134" ht="175" customHeight="1">
      <x:c r="A134" s="28" t="str">
        <x:v>S129</x:v>
      </x:c>
      <x:c r="B134" s="28" t="str">
        <x:v>PROV-O: The PROV Ontology</x:v>
      </x:c>
      <x:c r="C134" s="28" t="str">
        <x:v>Public primary text or index at stated inspection depth</x:v>
      </x:c>
      <x:c r="D134" s="28" t="str">
        <x:v>Applicable publisher/repository notices govern; no full external source republished here</x:v>
      </x:c>
      <x:c r="E134" s="28" t="str">
        <x:v>Use cited definitions with exact attribution; no independent rights clearance asserted</x:v>
      </x:c>
      <x:c r="F134" s="28" t="str">
        <x:v>No patent or licensing clearance inferred</x:v>
      </x:c>
      <x:c r="G134" s="28" t="str">
        <x:v>See inspection/access register</x:v>
      </x:c>
      <x:c r="H134" s="28" t="str">
        <x:v>W3C</x:v>
      </x:c>
      <x:c r="I134" s="28" t="str">
        <x:v>Verify chosen edition and license before redistribution/native implementation</x:v>
      </x:c>
      <x:c r="J134" s="28" t="str">
        <x:v>https://www.w3.org/TR/2013/REC-prov-o-20130430/</x:v>
      </x:c>
    </x:row>
    <x:row r="135" ht="175" customHeight="1">
      <x:c r="A135" s="28" t="str">
        <x:v>S130</x:v>
      </x:c>
      <x:c r="B135" s="28" t="str">
        <x:v>Constraints of the PROV Data Model</x:v>
      </x:c>
      <x:c r="C135" s="28" t="str">
        <x:v>Public primary text or index at stated inspection depth</x:v>
      </x:c>
      <x:c r="D135" s="28" t="str">
        <x:v>Applicable publisher/repository notices govern; no full external source republished here</x:v>
      </x:c>
      <x:c r="E135" s="28" t="str">
        <x:v>Use cited definitions with exact attribution; no independent rights clearance asserted</x:v>
      </x:c>
      <x:c r="F135" s="28" t="str">
        <x:v>No patent or licensing clearance inferred</x:v>
      </x:c>
      <x:c r="G135" s="28" t="str">
        <x:v>See inspection/access register</x:v>
      </x:c>
      <x:c r="H135" s="28" t="str">
        <x:v>W3C</x:v>
      </x:c>
      <x:c r="I135" s="28" t="str">
        <x:v>Verify chosen edition and license before redistribution/native implementation</x:v>
      </x:c>
      <x:c r="J135" s="28" t="str">
        <x:v>https://www.w3.org/TR/2013/REC-prov-constraints-20130430/</x:v>
      </x:c>
    </x:row>
    <x:row r="136" ht="175" customHeight="1">
      <x:c r="A136" s="28" t="str">
        <x:v>S131</x:v>
      </x:c>
      <x:c r="B136" s="28" t="str">
        <x:v>PROV-AQ: Provenance Access and Query</x:v>
      </x:c>
      <x:c r="C136" s="28" t="str">
        <x:v>Public primary text or index at stated inspection depth</x:v>
      </x:c>
      <x:c r="D136" s="28" t="str">
        <x:v>Applicable publisher/repository notices govern; no full external source republished here</x:v>
      </x:c>
      <x:c r="E136" s="28" t="str">
        <x:v>Use cited definitions with exact attribution; no independent rights clearance asserted</x:v>
      </x:c>
      <x:c r="F136" s="28" t="str">
        <x:v>No patent or licensing clearance inferred</x:v>
      </x:c>
      <x:c r="G136" s="28" t="str">
        <x:v>See inspection/access register</x:v>
      </x:c>
      <x:c r="H136" s="28" t="str">
        <x:v>W3C</x:v>
      </x:c>
      <x:c r="I136" s="28" t="str">
        <x:v>Verify chosen edition and license before redistribution/native implementation</x:v>
      </x:c>
      <x:c r="J136" s="28" t="str">
        <x:v>https://www.w3.org/TR/2013/NOTE-prov-aq-20130430/</x:v>
      </x:c>
    </x:row>
    <x:row r="137" ht="175" customHeight="1">
      <x:c r="A137" s="28" t="str">
        <x:v>S132</x:v>
      </x:c>
      <x:c r="B137" s="28" t="str">
        <x:v>Semantic Sensor Network Ontology – 2023 Edition</x:v>
      </x:c>
      <x:c r="C137" s="28" t="str">
        <x:v>Public primary text or index at stated inspection depth</x:v>
      </x:c>
      <x:c r="D137" s="28" t="str">
        <x:v>Applicable publisher/repository notices govern; no full external source republished here</x:v>
      </x:c>
      <x:c r="E137" s="28" t="str">
        <x:v>Use cited definitions with exact attribution; no independent rights clearance asserted</x:v>
      </x:c>
      <x:c r="F137" s="28" t="str">
        <x:v>No patent or licensing clearance inferred</x:v>
      </x:c>
      <x:c r="G137" s="28" t="str">
        <x:v>See inspection/access register</x:v>
      </x:c>
      <x:c r="H137" s="28" t="str">
        <x:v>W3C / OGC</x:v>
      </x:c>
      <x:c r="I137" s="28" t="str">
        <x:v>Verify chosen edition and license before redistribution/native implementation</x:v>
      </x:c>
      <x:c r="J137" s="28" t="str">
        <x:v>https://www.w3.org/TR/2026/WD-vocab-ssn-2023-20261021/</x:v>
      </x:c>
    </x:row>
    <x:row r="138" ht="175" customHeight="1">
      <x:c r="A138" s="28" t="str">
        <x:v>S133</x:v>
      </x:c>
      <x:c r="B138" s="28" t="str">
        <x:v>Data Catalog Vocabulary (DCAT) – Version 3</x:v>
      </x:c>
      <x:c r="C138" s="28" t="str">
        <x:v>Public primary text or index at stated inspection depth</x:v>
      </x:c>
      <x:c r="D138" s="28" t="str">
        <x:v>Applicable publisher/repository notices govern; no full external source republished here</x:v>
      </x:c>
      <x:c r="E138" s="28" t="str">
        <x:v>Use cited definitions with exact attribution; no independent rights clearance asserted</x:v>
      </x:c>
      <x:c r="F138" s="28" t="str">
        <x:v>No patent or licensing clearance inferred</x:v>
      </x:c>
      <x:c r="G138" s="28" t="str">
        <x:v>See inspection/access register</x:v>
      </x:c>
      <x:c r="H138" s="28" t="str">
        <x:v>W3C</x:v>
      </x:c>
      <x:c r="I138" s="28" t="str">
        <x:v>Verify chosen edition and license before redistribution/native implementation</x:v>
      </x:c>
      <x:c r="J138" s="28" t="str">
        <x:v>https://www.w3.org/TR/vocab-dcat-3/</x:v>
      </x:c>
    </x:row>
    <x:row r="139" ht="175" customHeight="1">
      <x:c r="A139" s="28" t="str">
        <x:v>S134</x:v>
      </x:c>
      <x:c r="B139" s="28" t="str">
        <x:v>Case Management Model and Notation (CMMN)</x:v>
      </x:c>
      <x:c r="C139" s="28" t="str">
        <x:v>Public primary text or index at stated inspection depth</x:v>
      </x:c>
      <x:c r="D139" s="28" t="str">
        <x:v>Applicable publisher/repository notices govern; no full external source republished here</x:v>
      </x:c>
      <x:c r="E139" s="28" t="str">
        <x:v>Use cited definitions with exact attribution; no independent rights clearance asserted</x:v>
      </x:c>
      <x:c r="F139" s="28" t="str">
        <x:v>No patent or licensing clearance inferred</x:v>
      </x:c>
      <x:c r="G139" s="28" t="str">
        <x:v>See inspection/access register</x:v>
      </x:c>
      <x:c r="H139" s="28" t="str">
        <x:v>OMG</x:v>
      </x:c>
      <x:c r="I139" s="28" t="str">
        <x:v>Verify chosen edition and license before redistribution/native implementation</x:v>
      </x:c>
      <x:c r="J139" s="28" t="str">
        <x:v>https://www.omg.org/spec/CMMN/1.1/PDF</x:v>
      </x:c>
    </x:row>
    <x:row r="140" ht="175" customHeight="1">
      <x:c r="A140" s="28" t="str">
        <x:v>S135</x:v>
      </x:c>
      <x:c r="B140" s="28" t="str">
        <x:v>OGC API – Processes – Part 1: Core</x:v>
      </x:c>
      <x:c r="C140" s="28" t="str">
        <x:v>Public primary text or index at stated inspection depth</x:v>
      </x:c>
      <x:c r="D140" s="28" t="str">
        <x:v>Applicable publisher/repository notices govern; no full external source republished here</x:v>
      </x:c>
      <x:c r="E140" s="28" t="str">
        <x:v>Use cited definitions with exact attribution; no independent rights clearance asserted</x:v>
      </x:c>
      <x:c r="F140" s="28" t="str">
        <x:v>No patent or licensing clearance inferred</x:v>
      </x:c>
      <x:c r="G140" s="28" t="str">
        <x:v>See inspection/access register</x:v>
      </x:c>
      <x:c r="H140" s="28" t="str">
        <x:v>OGC</x:v>
      </x:c>
      <x:c r="I140" s="28" t="str">
        <x:v>Verify chosen edition and license before redistribution/native implementation</x:v>
      </x:c>
      <x:c r="J140" s="28" t="str">
        <x:v>https://docs.ogc.org/is/18-062r2/18-062r2.html</x:v>
      </x:c>
    </x:row>
    <x:row r="141" ht="175" customHeight="1">
      <x:c r="A141" s="28" t="str">
        <x:v>S136</x:v>
      </x:c>
      <x:c r="B141" s="28" t="str">
        <x:v>Detection at State Borders of Nuclear and Other Radioactive Material out of Regulatory Control</x:v>
      </x:c>
      <x:c r="C141" s="28" t="str">
        <x:v>Public primary text or index at stated inspection depth</x:v>
      </x:c>
      <x:c r="D141" s="28" t="str">
        <x:v>Applicable publisher/repository notices govern; no full external source republished here</x:v>
      </x:c>
      <x:c r="E141" s="28" t="str">
        <x:v>Use cited definitions with exact attribution; no independent rights clearance asserted</x:v>
      </x:c>
      <x:c r="F141" s="28" t="str">
        <x:v>No patent or licensing clearance inferred</x:v>
      </x:c>
      <x:c r="G141" s="28" t="str">
        <x:v>See inspection/access register</x:v>
      </x:c>
      <x:c r="H141" s="28" t="str">
        <x:v>IAEA</x:v>
      </x:c>
      <x:c r="I141" s="28" t="str">
        <x:v>Verify chosen edition and license before redistribution/native implementation</x:v>
      </x:c>
      <x:c r="J141" s="28" t="str">
        <x:v>https://nucleus.iaea.org/sites/nss-oui/Published%20Collections/m_9c5cd7cc-4f40-427c-87c9-c81e6fb0acb3/m_9c5cd7cc-4f40-427c-87c9-c81e6fb0acb3__3_0.Html</x:v>
      </x:c>
    </x:row>
    <x:row r="142" ht="175" customHeight="1">
      <x:c r="A142" s="28" t="str">
        <x:v>S137</x:v>
      </x:c>
      <x:c r="B142" s="28" t="str">
        <x:v>Documentary Standards: IEC 62755 Standard (N42 Data Format)</x:v>
      </x:c>
      <x:c r="C142" s="28" t="str">
        <x:v>Public primary text or index at stated inspection depth</x:v>
      </x:c>
      <x:c r="D142" s="28" t="str">
        <x:v>Applicable publisher/repository notices govern; no full external source republished here</x:v>
      </x:c>
      <x:c r="E142" s="28" t="str">
        <x:v>Use cited definitions with exact attribution; no independent rights clearance asserted</x:v>
      </x:c>
      <x:c r="F142" s="28" t="str">
        <x:v>No patent or licensing clearance inferred</x:v>
      </x:c>
      <x:c r="G142" s="28" t="str">
        <x:v>See inspection/access register</x:v>
      </x:c>
      <x:c r="H142" s="28" t="str">
        <x:v>NIST / IEC</x:v>
      </x:c>
      <x:c r="I142" s="28" t="str">
        <x:v>Verify chosen edition and license before redistribution/native implementation</x:v>
      </x:c>
      <x:c r="J142" s="28" t="str">
        <x:v>https://www.nist.gov/programs-projects/documentary-standards-iec-62755-standard-n42-data-format</x:v>
      </x:c>
    </x:row>
    <x:row r="143" ht="175" customHeight="1">
      <x:c r="A143" s="28" t="str">
        <x:v>S138</x:v>
      </x:c>
      <x:c r="B143" s="28" t="str">
        <x:v>OSCAR viewer – pinned discovery and stream interpretation implementation</x:v>
      </x:c>
      <x:c r="C143" s="28" t="str">
        <x:v>Public primary text or index at stated inspection depth</x:v>
      </x:c>
      <x:c r="D143" s="28" t="str">
        <x:v>Applicable publisher/repository notices govern; no full external source republished here</x:v>
      </x:c>
      <x:c r="E143" s="28" t="str">
        <x:v>Use cited definitions with exact attribution; no independent rights clearance asserted</x:v>
      </x:c>
      <x:c r="F143" s="28" t="str">
        <x:v>No patent or licensing clearance inferred</x:v>
      </x:c>
      <x:c r="G143" s="28" t="str">
        <x:v>See inspection/access register</x:v>
      </x:c>
      <x:c r="H143" s="28" t="str">
        <x:v>Botts Innovative Research contributors</x:v>
      </x:c>
      <x:c r="I143" s="28" t="str">
        <x:v>Verify chosen edition and license before redistribution/native implementation</x:v>
      </x:c>
      <x:c r="J143" s="28" t="str">
        <x:v>https://github.com/Botts-Innovative-Research/oscar-viewer/tree/4b49c7cedc841c875dbb63613dfd21c34b8fa6ed</x:v>
      </x:c>
    </x:row>
    <x:row r="144" ht="175" customHeight="1">
      <x:c r="A144" s="28" t="str">
        <x:v>S139</x:v>
      </x:c>
      <x:c r="B144" s="28" t="str">
        <x:v>OSCAR server modules and bundled N42 artifacts – pinned implementation</x:v>
      </x:c>
      <x:c r="C144" s="28" t="str">
        <x:v>Public primary text or index at stated inspection depth</x:v>
      </x:c>
      <x:c r="D144" s="28" t="str">
        <x:v>Applicable publisher/repository notices govern; no full external source republished here</x:v>
      </x:c>
      <x:c r="E144" s="28" t="str">
        <x:v>Use cited definitions with exact attribution; no independent rights clearance asserted</x:v>
      </x:c>
      <x:c r="F144" s="28" t="str">
        <x:v>No patent or licensing clearance inferred</x:v>
      </x:c>
      <x:c r="G144" s="28" t="str">
        <x:v>See inspection/access register</x:v>
      </x:c>
      <x:c r="H144" s="28" t="str">
        <x:v>Botts Innovative Research contributors</x:v>
      </x:c>
      <x:c r="I144" s="28" t="str">
        <x:v>Verify chosen edition and license before redistribution/native implementation</x:v>
      </x:c>
      <x:c r="J144" s="28" t="str">
        <x:v>https://github.com/Botts-Innovative-Research/osh-oakridge-modules/tree/817f408a017302387f4f427b9b7f8ec5bcb62c70</x:v>
      </x:c>
    </x:row>
    <x:row r="145" ht="175" customHeight="1">
      <x:c r="A145" s="28" t="str">
        <x:v>S140</x:v>
      </x:c>
      <x:c r="B145" s="28" t="str">
        <x:v>OSCAR build-node and System Documentation Manual 3.5 – pinned bundle</x:v>
      </x:c>
      <x:c r="C145" s="28" t="str">
        <x:v>Public primary text or index at stated inspection depth</x:v>
      </x:c>
      <x:c r="D145" s="28" t="str">
        <x:v>Applicable publisher/repository notices govern; no full external source republished here</x:v>
      </x:c>
      <x:c r="E145" s="28" t="str">
        <x:v>Use cited definitions with exact attribution; no independent rights clearance asserted</x:v>
      </x:c>
      <x:c r="F145" s="28" t="str">
        <x:v>No patent or licensing clearance inferred</x:v>
      </x:c>
      <x:c r="G145" s="28" t="str">
        <x:v>See inspection/access register</x:v>
      </x:c>
      <x:c r="H145" s="28" t="str">
        <x:v>Botts Innovative Research contributors</x:v>
      </x:c>
      <x:c r="I145" s="28" t="str">
        <x:v>Verify chosen edition and license before redistribution/native implementation</x:v>
      </x:c>
      <x:c r="J145" s="28" t="str">
        <x:v>https://github.com/Botts-Innovative-Research/osh-oakridge-buildnode/tree/ab8b847b662152bd949157197182bfdf8c429d21</x:v>
      </x:c>
    </x:row>
  </x:sheetData>
  <x:mergeCells>
    <x:mergeCell ref="A1:J1"/>
    <x:mergeCell ref="A3:J3"/>
  </x:mergeCells>
  <x:pageMargins left="0.7" right="0.7" top="0.75" bottom="0.75" header="0.3" footer="0.3"/>
  <x:tableParts count="1">
    <x:tablePart xmlns:r="http://schemas.openxmlformats.org/officeDocument/2006/relationships" r:id="R848ba8270ad54c8f"/>
  </x:tableParts>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34" hidden="0" customWidth="1"/>
    <x:col min="2" max="2" width="4" hidden="0" customWidth="1"/>
    <x:col min="3" max="3" width="34" hidden="0" customWidth="1"/>
    <x:col min="4" max="4" width="4" hidden="0" customWidth="1"/>
    <x:col min="5" max="5" width="34" hidden="0" customWidth="1"/>
    <x:col min="6" max="6" width="18" hidden="0" customWidth="1"/>
    <x:col min="7" max="7" width="18" hidden="0" customWidth="1"/>
    <x:col min="8" max="8" width="16" hidden="0" customWidth="1"/>
  </x:cols>
  <x:sheetData>
    <x:row r="1" ht="22" customHeight="1">
      <x:c r="A1" s="319" t="str">
        <x:v>MERLIN | Research reconciliation v0.10 | 22 October 2026</x:v>
      </x:c>
      <x:c r="B1" s="319"/>
      <x:c r="C1" s="319"/>
      <x:c r="D1" s="319"/>
      <x:c r="E1" s="319"/>
      <x:c r="F1" s="261"/>
      <x:c r="G1" s="261"/>
      <x:c r="H1" s="9"/>
      <x:c r="I1"/>
      <x:c r="J1"/>
      <x:c r="K1"/>
      <x:c r="L1"/>
      <x:c r="M1"/>
      <x:c r="N1"/>
    </x:row>
    <x:row r="2" ht="22" customHeight="1">
      <x:c r="A2" s="319" t="str">
        <x:v>Current: MPSS v0.3.5 unchanged; 140 source identities (S01–S140); 29 worksheets. Begin with OSCAR Summary. Prior rows retain dated history.</x:v>
      </x:c>
      <x:c r="B2" s="319"/>
      <x:c r="C2" s="319"/>
      <x:c r="D2" s="319"/>
      <x:c r="E2" s="319"/>
      <x:c r="F2" s="261"/>
      <x:c r="G2" s="261"/>
      <x:c r="H2" s="9"/>
      <x:c r="I2"/>
      <x:c r="J2"/>
      <x:c r="K2"/>
      <x:c r="L2"/>
      <x:c r="M2"/>
      <x:c r="N2"/>
    </x:row>
    <x:row r="3" ht="36" customHeight="1">
      <x:c r="A3" s="326" t="str">
        <x:v>17 October 2026 • Technical profile remains v0.3.5 • No new technical approval or implementation</x:v>
      </x:c>
      <x:c r="B3" s="326"/>
      <x:c r="C3" s="326"/>
      <x:c r="D3" s="326"/>
      <x:c r="E3" s="326"/>
      <x:c r="F3" s="263"/>
      <x:c r="G3" s="263"/>
      <x:c r="H3" s="4"/>
      <x:c r="I3"/>
      <x:c r="J3"/>
      <x:c r="K3"/>
      <x:c r="L3"/>
      <x:c r="M3"/>
      <x:c r="N3"/>
    </x:row>
    <x:row r="4" ht="22" customHeight="1">
      <x:c r="A4" s="281"/>
      <x:c r="B4" s="281"/>
      <x:c r="C4" s="281"/>
      <x:c r="D4" s="281"/>
      <x:c r="E4" s="281"/>
      <x:c r="F4" s="257"/>
      <x:c r="G4" s="257"/>
      <x:c r="H4" s="12"/>
      <x:c r="I4"/>
      <x:c r="J4"/>
      <x:c r="K4"/>
      <x:c r="L4"/>
      <x:c r="M4"/>
      <x:c r="N4"/>
    </x:row>
    <x:row r="5" ht="24" customHeight="1">
      <x:c r="A5" s="327" t="str">
        <x:v>MASTER SOURCES</x:v>
      </x:c>
      <x:c r="B5" s="327"/>
      <x:c r="C5" s="327" t="str">
        <x:v>APPLIED INCREMENTS</x:v>
      </x:c>
      <x:c r="D5" s="327"/>
      <x:c r="E5" s="327" t="str">
        <x:v>RESIDUAL ITEMS</x:v>
      </x:c>
      <x:c r="F5" s="265"/>
      <x:c r="G5" s="265"/>
      <x:c r="H5" s="12"/>
      <x:c r="I5"/>
      <x:c r="J5"/>
      <x:c r="K5"/>
      <x:c r="L5"/>
      <x:c r="M5"/>
      <x:c r="N5"/>
    </x:row>
    <x:row r="6" ht="42" customHeight="1">
      <x:c r="A6" s="328" t="n">
        <x:f>COUNTA(Sources!A6:A129)</x:f>
        <x:v>124</x:v>
      </x:c>
      <x:c r="B6" s="329"/>
      <x:c r="C6" s="328" t="n">
        <x:f>COUNTA(A12:A15)</x:f>
        <x:v>4</x:v>
      </x:c>
      <x:c r="D6" s="329"/>
      <x:c r="E6" s="328" t="n">
        <x:f>COUNTA('Integration Gaps'!A2:A12)</x:f>
        <x:v>11</x:v>
      </x:c>
      <x:c r="F6" s="268"/>
      <x:c r="G6" s="268"/>
      <x:c r="H6" s="12"/>
      <x:c r="I6"/>
      <x:c r="J6"/>
      <x:c r="K6"/>
      <x:c r="L6"/>
      <x:c r="M6"/>
      <x:c r="N6"/>
    </x:row>
    <x:row r="7" ht="22" customHeight="1">
      <x:c r="A7" s="329"/>
      <x:c r="B7" s="329"/>
      <x:c r="C7" s="329"/>
      <x:c r="D7" s="329"/>
      <x:c r="E7" s="329"/>
      <x:c r="F7" s="268"/>
      <x:c r="G7" s="268"/>
      <x:c r="H7" s="4"/>
      <x:c r="I7"/>
      <x:c r="J7"/>
      <x:c r="K7"/>
      <x:c r="L7"/>
      <x:c r="M7"/>
      <x:c r="N7"/>
    </x:row>
    <x:row r="8" ht="22" customHeight="1">
      <x:c r="A8" s="335" t="str">
        <x:v>WHAT THIS UPDATE DOES</x:v>
      </x:c>
      <x:c r="B8" s="335"/>
      <x:c r="C8" s="335"/>
      <x:c r="D8" s="335"/>
      <x:c r="E8" s="335"/>
      <x:c r="F8" s="256"/>
      <x:c r="G8" s="256"/>
      <x:c r="H8" s="15"/>
      <x:c r="I8"/>
      <x:c r="J8"/>
      <x:c r="K8"/>
      <x:c r="L8"/>
      <x:c r="M8"/>
      <x:c r="N8"/>
    </x:row>
    <x:row r="9" ht="26" customHeight="1">
      <x:c r="A9" s="344" t="str">
        <x:v>Reconciles 15 new source records, existing source updates, completed OMS/SAPIENT/SOSA evidence and four approved design increments. S97 access gate is closed; S99 was already present. No universal donor mapping or native conformance is claimed.</x:v>
      </x:c>
      <x:c r="B9" s="344"/>
      <x:c r="C9" s="344"/>
      <x:c r="D9" s="344"/>
      <x:c r="E9" s="344"/>
      <x:c r="F9" s="269"/>
      <x:c r="G9" s="269"/>
      <x:c r="H9" s="20"/>
      <x:c r="I9"/>
      <x:c r="J9"/>
      <x:c r="K9"/>
      <x:c r="L9"/>
      <x:c r="M9"/>
      <x:c r="N9"/>
    </x:row>
    <x:row r="10" ht="26" customHeight="1">
      <x:c r="A10" s="344"/>
      <x:c r="B10" s="344"/>
      <x:c r="C10" s="344"/>
      <x:c r="D10" s="344"/>
      <x:c r="E10" s="344"/>
      <x:c r="F10" s="262"/>
      <x:c r="G10" s="262"/>
      <x:c r="H10" s="20"/>
      <x:c r="I10"/>
      <x:c r="J10"/>
      <x:c r="K10"/>
      <x:c r="L10"/>
      <x:c r="M10"/>
      <x:c r="N10"/>
    </x:row>
    <x:row r="11" ht="22" customHeight="1">
      <x:c r="A11" s="337"/>
      <x:c r="B11" s="337"/>
      <x:c r="C11" s="338"/>
      <x:c r="D11" s="338"/>
      <x:c r="E11" s="338"/>
      <x:c r="F11" s="262"/>
      <x:c r="G11" s="262"/>
      <x:c r="H11" s="4"/>
      <x:c r="I11"/>
      <x:c r="J11"/>
      <x:c r="K11"/>
      <x:c r="L11"/>
      <x:c r="M11"/>
      <x:c r="N11"/>
    </x:row>
    <x:row r="12" ht="22" customHeight="1">
      <x:c r="A12" s="337" t="str">
        <x:v>v0.3.2</x:v>
      </x:c>
      <x:c r="B12" s="337"/>
      <x:c r="C12" s="338" t="str">
        <x:v>R08 retained; R12/R16/R20 refined</x:v>
      </x:c>
      <x:c r="D12" s="338"/>
      <x:c r="E12" s="338" t="str">
        <x:v>Approved / applied</x:v>
      </x:c>
      <x:c r="F12" s="262"/>
      <x:c r="G12" s="262"/>
      <x:c r="H12" s="9"/>
      <x:c r="I12"/>
      <x:c r="J12"/>
      <x:c r="K12"/>
      <x:c r="L12"/>
      <x:c r="M12"/>
      <x:c r="N12"/>
    </x:row>
    <x:row r="13" ht="22" customHeight="1">
      <x:c r="A13" s="335" t="str">
        <x:v>v0.3.3</x:v>
      </x:c>
      <x:c r="B13" s="335"/>
      <x:c r="C13" s="339" t="str">
        <x:v>R01/R02 identity; R15 provenance</x:v>
      </x:c>
      <x:c r="D13" s="339"/>
      <x:c r="E13" s="339" t="str">
        <x:v>Approved / applied</x:v>
      </x:c>
      <x:c r="F13" s="257"/>
      <x:c r="G13" s="257"/>
      <x:c r="H13" s="4"/>
      <x:c r="I13"/>
      <x:c r="J13"/>
      <x:c r="K13"/>
      <x:c r="L13"/>
      <x:c r="M13"/>
      <x:c r="N13"/>
    </x:row>
    <x:row r="14" ht="34" customHeight="1">
      <x:c r="A14" s="340" t="str">
        <x:v>v0.3.4</x:v>
      </x:c>
      <x:c r="B14" s="340"/>
      <x:c r="C14" s="338" t="str">
        <x:v>R04/R09 modes; R10 products</x:v>
      </x:c>
      <x:c r="D14" s="338"/>
      <x:c r="E14" s="338" t="str">
        <x:v>Approved / applied</x:v>
      </x:c>
      <x:c r="F14" s="262"/>
      <x:c r="G14" s="262"/>
      <x:c r="H14" s="4"/>
      <x:c r="I14"/>
      <x:c r="J14"/>
      <x:c r="K14"/>
      <x:c r="L14"/>
      <x:c r="M14"/>
      <x:c r="N14"/>
    </x:row>
    <x:row r="15" ht="34" customHeight="1">
      <x:c r="A15" s="340" t="str">
        <x:v>v0.3.5</x:v>
      </x:c>
      <x:c r="B15" s="340"/>
      <x:c r="C15" s="338" t="str">
        <x:v>R11 subjects/lineage; R17 units/nil</x:v>
      </x:c>
      <x:c r="D15" s="338"/>
      <x:c r="E15" s="338" t="str">
        <x:v>Approved / applied</x:v>
      </x:c>
      <x:c r="F15" s="262"/>
      <x:c r="G15" s="262"/>
      <x:c r="H15" s="4"/>
      <x:c r="I15"/>
      <x:c r="J15"/>
      <x:c r="K15"/>
      <x:c r="L15"/>
      <x:c r="M15"/>
      <x:c r="N15"/>
    </x:row>
    <x:row r="16" ht="34" customHeight="1">
      <x:c r="A16" s="335"/>
      <x:c r="B16" s="335"/>
      <x:c r="C16" s="339"/>
      <x:c r="D16" s="339"/>
      <x:c r="E16" s="339"/>
      <x:c r="F16" s="257"/>
      <x:c r="G16" s="257"/>
      <x:c r="H16" s="4"/>
      <x:c r="I16"/>
      <x:c r="J16"/>
      <x:c r="K16"/>
      <x:c r="L16"/>
      <x:c r="M16"/>
      <x:c r="N16"/>
    </x:row>
    <x:row r="17" ht="34" customHeight="1">
      <x:c r="A17" s="341" t="str">
        <x:v>READ THE CURRENT RECORD</x:v>
      </x:c>
      <x:c r="B17" s="341"/>
      <x:c r="C17" s="341"/>
      <x:c r="D17" s="341"/>
      <x:c r="E17" s="341"/>
      <x:c r="F17" s="266"/>
      <x:c r="G17" s="266"/>
      <x:c r="H17" s="4"/>
      <x:c r="I17"/>
      <x:c r="J17"/>
      <x:c r="K17"/>
      <x:c r="L17"/>
      <x:c r="M17"/>
      <x:c r="N17"/>
    </x:row>
    <x:row r="18" ht="34" customHeight="1">
      <x:c r="A18" s="348" t="str">
        <x:v>Sources + Intended Use + Conformance Plan: source identities, inspection depth and implementation boundaries. Applied R01-R20: actual design status.</x:v>
      </x:c>
      <x:c r="B18" s="348"/>
      <x:c r="C18" s="348"/>
      <x:c r="D18" s="348"/>
      <x:c r="E18" s="348"/>
      <x:c r="F18" s="262"/>
      <x:c r="G18" s="262"/>
      <x:c r="H18" s="4"/>
      <x:c r="I18"/>
      <x:c r="J18"/>
      <x:c r="K18"/>
      <x:c r="L18"/>
      <x:c r="M18"/>
      <x:c r="N18"/>
    </x:row>
    <x:row r="19" ht="34" customHeight="1">
      <x:c r="A19" s="348"/>
      <x:c r="B19" s="348"/>
      <x:c r="C19" s="348"/>
      <x:c r="D19" s="348"/>
      <x:c r="E19" s="348"/>
      <x:c r="F19" s="257"/>
      <x:c r="G19" s="257"/>
      <x:c r="H19" s="4"/>
      <x:c r="I19"/>
      <x:c r="J19"/>
      <x:c r="K19"/>
      <x:c r="L19"/>
      <x:c r="M19"/>
      <x:c r="N19"/>
    </x:row>
    <x:row r="20" ht="34" customHeight="1">
      <x:c r="A20" s="348"/>
      <x:c r="B20" s="348"/>
      <x:c r="C20" s="348"/>
      <x:c r="D20" s="348"/>
      <x:c r="E20" s="348"/>
      <x:c r="F20" s="262"/>
      <x:c r="G20" s="262"/>
      <x:c r="H20" s="4"/>
      <x:c r="I20"/>
      <x:c r="J20"/>
      <x:c r="K20"/>
      <x:c r="L20"/>
      <x:c r="M20"/>
      <x:c r="N20"/>
    </x:row>
    <x:row r="21" ht="34" customHeight="1">
      <x:c r="A21" s="341" t="str">
        <x:v>DONOR ALIGNMENT AND COVERAGE</x:v>
      </x:c>
      <x:c r="B21" s="341"/>
      <x:c r="C21" s="341"/>
      <x:c r="D21" s="341"/>
      <x:c r="E21" s="341"/>
      <x:c r="F21" s="262"/>
      <x:c r="G21" s="262"/>
      <x:c r="H21" s="9"/>
      <x:c r="I21"/>
      <x:c r="J21"/>
      <x:c r="K21"/>
      <x:c r="L21"/>
      <x:c r="M21"/>
      <x:c r="N21"/>
    </x:row>
    <x:row r="22" ht="22" customHeight="1">
      <x:c r="A22" s="348" t="str">
        <x:v>Donor Lineage distinguishes direct reliance, author statements, draft alignments, historical bridges and coexistence. Donor Coverage separates conceptual coverage from demonstrated adapters.</x:v>
      </x:c>
      <x:c r="B22" s="348"/>
      <x:c r="C22" s="348"/>
      <x:c r="D22" s="348"/>
      <x:c r="E22" s="348"/>
      <x:c r="F22" s="257"/>
      <x:c r="G22" s="257"/>
      <x:c r="H22" s="4"/>
      <x:c r="I22"/>
      <x:c r="J22"/>
      <x:c r="K22"/>
      <x:c r="L22"/>
      <x:c r="M22"/>
      <x:c r="N22"/>
    </x:row>
    <x:row r="23" ht="26" customHeight="1">
      <x:c r="A23" s="348"/>
      <x:c r="B23" s="348"/>
      <x:c r="C23" s="348"/>
      <x:c r="D23" s="348"/>
      <x:c r="E23" s="348"/>
      <x:c r="F23" s="269"/>
      <x:c r="G23" s="269"/>
      <x:c r="H23" s="22"/>
      <x:c r="I23"/>
      <x:c r="J23"/>
      <x:c r="K23"/>
      <x:c r="L23"/>
      <x:c r="M23"/>
      <x:c r="N23"/>
    </x:row>
    <x:row r="24" ht="22" customHeight="1">
      <x:c r="A24" s="348"/>
      <x:c r="B24" s="348"/>
      <x:c r="C24" s="348"/>
      <x:c r="D24" s="348"/>
      <x:c r="E24" s="348"/>
      <x:c r="F24" s="262"/>
      <x:c r="G24" s="262"/>
      <x:c r="H24" s="22"/>
      <x:c r="I24"/>
      <x:c r="J24"/>
      <x:c r="K24"/>
      <x:c r="L24"/>
      <x:c r="M24"/>
      <x:c r="N24"/>
    </x:row>
    <x:row r="25" ht="22" customHeight="1">
      <x:c r="A25" s="341" t="str">
        <x:v>WHAT REMAINS OPEN</x:v>
      </x:c>
      <x:c r="B25" s="341"/>
      <x:c r="C25" s="341"/>
      <x:c r="D25" s="341"/>
      <x:c r="E25" s="341"/>
      <x:c r="F25" s="262"/>
      <x:c r="G25" s="262"/>
      <x:c r="H25" s="24"/>
      <x:c r="I25"/>
      <x:c r="J25"/>
      <x:c r="K25"/>
      <x:c r="L25"/>
      <x:c r="M25"/>
      <x:c r="N25"/>
    </x:row>
    <x:row r="26" ht="22" customHeight="1">
      <x:c r="A26" s="348" t="str">
        <x:v>Integration Gaps holds 11 finite items. IEEE exact text, optional event access, detailed power, common lineage navigation and native mapping evidence are not silently marked complete.</x:v>
      </x:c>
      <x:c r="B26" s="348"/>
      <x:c r="C26" s="348"/>
      <x:c r="D26" s="348"/>
      <x:c r="E26" s="348"/>
      <x:c r="F26" s="262"/>
      <x:c r="G26" s="262"/>
      <x:c r="H26" s="24"/>
      <x:c r="I26"/>
      <x:c r="J26"/>
      <x:c r="K26"/>
      <x:c r="L26"/>
      <x:c r="M26"/>
      <x:c r="N26"/>
    </x:row>
    <x:row r="27" ht="22" customHeight="1">
      <x:c r="A27" s="348"/>
      <x:c r="B27" s="348"/>
      <x:c r="C27" s="348"/>
      <x:c r="D27" s="348"/>
      <x:c r="E27" s="348"/>
      <x:c r="F27" s="257"/>
      <x:c r="G27" s="257"/>
      <x:c r="H27" s="22"/>
      <x:c r="I27"/>
      <x:c r="J27"/>
      <x:c r="K27"/>
      <x:c r="L27"/>
      <x:c r="M27"/>
      <x:c r="N27"/>
    </x:row>
    <x:row r="28" ht="26" customHeight="1">
      <x:c r="A28" s="348"/>
      <x:c r="B28" s="348"/>
      <x:c r="C28" s="348"/>
      <x:c r="D28" s="348"/>
      <x:c r="E28" s="348"/>
      <x:c r="F28" s="269"/>
      <x:c r="G28" s="269"/>
      <x:c r="H28" s="22"/>
      <x:c r="I28"/>
      <x:c r="J28"/>
      <x:c r="K28"/>
      <x:c r="L28"/>
      <x:c r="M28"/>
      <x:c r="N28"/>
    </x:row>
    <x:row r="29" ht="22" customHeight="1">
      <x:c r="A29" s="341" t="str">
        <x:v>DISR BOUNDARY</x:v>
      </x:c>
      <x:c r="B29" s="341"/>
      <x:c r="C29" s="341"/>
      <x:c r="D29" s="341"/>
      <x:c r="E29" s="341"/>
      <x:c r="F29" s="262"/>
      <x:c r="G29" s="262"/>
      <x:c r="H29" s="22"/>
      <x:c r="I29"/>
      <x:c r="J29"/>
      <x:c r="K29"/>
      <x:c r="L29"/>
      <x:c r="M29"/>
      <x:c r="N29"/>
    </x:row>
    <x:row r="30" ht="22" customHeight="1">
      <x:c r="A30" s="348" t="str">
        <x:v>All 5,253 source-study metadata rows screened; 29 shortlist entries transferred; 137 independent QA sample rows remain open. The authoritative October 10 baseline is unchanged.</x:v>
      </x:c>
      <x:c r="B30" s="348"/>
      <x:c r="C30" s="348"/>
      <x:c r="D30" s="348"/>
      <x:c r="E30" s="348"/>
      <x:c r="F30" s="262"/>
      <x:c r="G30" s="262"/>
      <x:c r="H30" s="22"/>
      <x:c r="I30"/>
      <x:c r="J30"/>
      <x:c r="K30"/>
      <x:c r="L30"/>
      <x:c r="M30"/>
      <x:c r="N30"/>
    </x:row>
    <x:row r="31" ht="22" customHeight="1">
      <x:c r="A31" s="348"/>
      <x:c r="B31" s="348"/>
      <x:c r="C31" s="348"/>
      <x:c r="D31" s="348"/>
      <x:c r="E31" s="348"/>
      <x:c r="F31" s="262"/>
      <x:c r="G31" s="262"/>
      <x:c r="H31" s="22"/>
      <x:c r="I31"/>
      <x:c r="J31"/>
      <x:c r="K31"/>
      <x:c r="L31"/>
      <x:c r="M31"/>
      <x:c r="N31"/>
    </x:row>
    <x:row r="32" ht="22" customHeight="1">
      <x:c r="A32" s="348"/>
      <x:c r="B32" s="348"/>
      <x:c r="C32" s="348"/>
      <x:c r="D32" s="348"/>
      <x:c r="E32" s="348"/>
      <x:c r="F32" s="257"/>
      <x:c r="G32" s="257"/>
      <x:c r="H32" s="22"/>
      <x:c r="I32"/>
      <x:c r="J32"/>
      <x:c r="K32"/>
      <x:c r="L32"/>
      <x:c r="M32"/>
      <x:c r="N32"/>
    </x:row>
    <x:row r="33" ht="26" customHeight="1">
      <x:c r="A33" s="341" t="str">
        <x:v>HISTORY AND COUNTS</x:v>
      </x:c>
      <x:c r="B33" s="341"/>
      <x:c r="C33" s="341"/>
      <x:c r="D33" s="341"/>
      <x:c r="E33" s="341"/>
      <x:c r="F33" s="269"/>
      <x:c r="G33" s="269"/>
      <x:c r="H33" s="4"/>
      <x:c r="I33"/>
      <x:c r="J33"/>
      <x:c r="K33"/>
      <x:c r="L33"/>
      <x:c r="M33"/>
      <x:c r="N33"/>
    </x:row>
    <x:row r="34" ht="22" customHeight="1">
      <x:c r="A34" s="348" t="str">
        <x:v>Original 109 source identities are retained. S51 stays the 2024 guidance; S124 records the 2026 revision. Original worksheets remain available; historical tabs are labeled, not deleted.</x:v>
      </x:c>
      <x:c r="B34" s="348"/>
      <x:c r="C34" s="348"/>
      <x:c r="D34" s="348"/>
      <x:c r="E34" s="348"/>
      <x:c r="F34" s="262"/>
      <x:c r="G34" s="262"/>
      <x:c r="H34" s="43"/>
      <x:c r="I34"/>
      <x:c r="J34"/>
      <x:c r="K34"/>
      <x:c r="L34"/>
      <x:c r="M34"/>
      <x:c r="N34"/>
    </x:row>
    <x:row r="35" ht="22" customHeight="1">
      <x:c r="A35" s="348"/>
      <x:c r="B35" s="348"/>
      <x:c r="C35" s="348"/>
      <x:c r="D35" s="348"/>
      <x:c r="E35" s="348"/>
      <x:c r="F35" s="262"/>
      <x:c r="G35" s="262"/>
      <x:c r="H35" s="4"/>
      <x:c r="I35"/>
      <x:c r="J35"/>
      <x:c r="K35"/>
      <x:c r="L35"/>
      <x:c r="M35"/>
      <x:c r="N35"/>
    </x:row>
    <x:row r="36" ht="22" customHeight="1">
      <x:c r="A36" s="348"/>
      <x:c r="B36" s="348"/>
      <x:c r="C36" s="348"/>
      <x:c r="D36" s="348"/>
      <x:c r="E36" s="348"/>
      <x:c r="F36" s="262"/>
      <x:c r="G36" s="262"/>
      <x:c r="H36" s="28"/>
      <x:c r="I36"/>
      <x:c r="J36"/>
      <x:c r="K36"/>
      <x:c r="L36"/>
      <x:c r="M36"/>
      <x:c r="N36"/>
    </x:row>
    <x:row r="37" ht="22" customHeight="1">
      <x:c r="A37" s="341" t="str">
        <x:v>NEXT RECOMMENDED WORK</x:v>
      </x:c>
      <x:c r="B37" s="341"/>
      <x:c r="C37" s="341"/>
      <x:c r="D37" s="341"/>
      <x:c r="E37" s="341"/>
      <x:c r="F37" s="256"/>
      <x:c r="G37" s="256"/>
      <x:c r="H37" s="28"/>
      <x:c r="I37"/>
      <x:c r="J37"/>
      <x:c r="K37"/>
      <x:c r="L37"/>
      <x:c r="M37"/>
      <x:c r="N37"/>
    </x:row>
    <x:row r="38" ht="22" customHeight="1">
      <x:c r="A38" s="348" t="str">
        <x:v>Use one version-pinned native SAPIENT v2 record set to check mapping fidelity end-to-end. Do not build an adapter, add a universal schema, or reopen approved relationships automatically.</x:v>
      </x:c>
      <x:c r="B38" s="348"/>
      <x:c r="C38" s="348"/>
      <x:c r="D38" s="348"/>
      <x:c r="E38" s="348"/>
      <x:c r="F38" s="257"/>
      <x:c r="G38" s="257"/>
      <x:c r="H38" s="28"/>
      <x:c r="I38"/>
      <x:c r="J38"/>
      <x:c r="K38"/>
      <x:c r="L38"/>
      <x:c r="M38"/>
      <x:c r="N38"/>
    </x:row>
    <x:row r="39" ht="22" customHeight="1">
      <x:c r="A39" s="348"/>
      <x:c r="B39" s="348"/>
      <x:c r="C39" s="348"/>
      <x:c r="D39" s="348"/>
      <x:c r="E39" s="348"/>
      <x:c r="F39" s="257"/>
      <x:c r="G39" s="257"/>
      <x:c r="H39" s="28"/>
      <x:c r="I39"/>
      <x:c r="J39"/>
      <x:c r="K39"/>
      <x:c r="L39"/>
      <x:c r="M39"/>
      <x:c r="N39"/>
    </x:row>
    <x:row r="40" ht="22" customHeight="1">
      <x:c r="A40" s="348"/>
      <x:c r="B40" s="348"/>
      <x:c r="C40" s="348"/>
      <x:c r="D40" s="348"/>
      <x:c r="E40" s="348"/>
      <x:c r="F40" s="257"/>
      <x:c r="G40" s="257"/>
      <x:c r="H40" s="28"/>
      <x:c r="I40"/>
      <x:c r="J40"/>
      <x:c r="K40"/>
      <x:c r="L40"/>
      <x:c r="M40"/>
      <x:c r="N40"/>
    </x:row>
    <x:row r="41" ht="22" customHeight="1">
      <x:c r="A41" s="257"/>
      <x:c r="B41" s="257"/>
      <x:c r="C41" s="257"/>
      <x:c r="D41" s="257"/>
      <x:c r="E41" s="257"/>
      <x:c r="F41" s="257"/>
      <x:c r="G41" s="257"/>
      <x:c r="H41" s="28"/>
      <x:c r="I41"/>
      <x:c r="J41"/>
      <x:c r="K41"/>
      <x:c r="L41"/>
      <x:c r="M41"/>
      <x:c r="N41"/>
    </x:row>
    <x:row r="42" ht="22" customHeight="1">
      <x:c r="A42" s="257"/>
      <x:c r="B42" s="257"/>
      <x:c r="C42" s="257"/>
      <x:c r="D42" s="257"/>
      <x:c r="E42" s="257"/>
      <x:c r="F42" s="257"/>
      <x:c r="G42" s="257"/>
      <x:c r="H42"/>
      <x:c r="I42"/>
      <x:c r="J42"/>
      <x:c r="K42"/>
      <x:c r="L42"/>
      <x:c r="M42"/>
      <x:c r="N42"/>
    </x:row>
    <x:row r="43" ht="22" customHeight="1">
      <x:c r="A43" s="256"/>
      <x:c r="B43" s="256"/>
      <x:c r="C43" s="256"/>
      <x:c r="D43" s="256"/>
      <x:c r="E43" s="256"/>
      <x:c r="F43" s="256"/>
      <x:c r="G43" s="256"/>
      <x:c r="H43" s="73"/>
      <x:c r="I43"/>
      <x:c r="J43"/>
      <x:c r="K43"/>
      <x:c r="L43"/>
      <x:c r="M43"/>
      <x:c r="N43"/>
    </x:row>
    <x:row r="44" ht="22" customHeight="1">
      <x:c r="A44" s="257"/>
      <x:c r="B44" s="257"/>
      <x:c r="C44" s="257"/>
      <x:c r="D44" s="257"/>
      <x:c r="E44" s="257"/>
      <x:c r="F44" s="257"/>
      <x:c r="G44" s="257"/>
      <x:c r="H44" s="73"/>
      <x:c r="I44"/>
      <x:c r="J44"/>
      <x:c r="K44"/>
      <x:c r="L44"/>
      <x:c r="M44"/>
      <x:c r="N44"/>
    </x:row>
    <x:row r="45" ht="22" customHeight="1">
      <x:c r="A45" s="257"/>
      <x:c r="B45" s="257"/>
      <x:c r="C45" s="257"/>
      <x:c r="D45" s="257"/>
      <x:c r="E45" s="257"/>
      <x:c r="F45" s="257"/>
      <x:c r="G45" s="257"/>
      <x:c r="H45" s="73"/>
      <x:c r="I45"/>
      <x:c r="J45"/>
      <x:c r="K45"/>
      <x:c r="L45"/>
      <x:c r="M45"/>
      <x:c r="N45"/>
    </x:row>
    <x:row r="46" ht="22" customHeight="1">
      <x:c r="A46" s="257"/>
      <x:c r="B46" s="257"/>
      <x:c r="C46" s="257"/>
      <x:c r="D46" s="257"/>
      <x:c r="E46" s="257"/>
      <x:c r="F46" s="257"/>
      <x:c r="G46" s="257"/>
      <x:c r="H46" s="49"/>
      <x:c r="I46"/>
      <x:c r="J46"/>
      <x:c r="K46"/>
      <x:c r="L46"/>
      <x:c r="M46"/>
      <x:c r="N46"/>
    </x:row>
    <x:row r="47" ht="22" customHeight="1">
      <x:c r="A47" s="257"/>
      <x:c r="B47" s="257"/>
      <x:c r="C47" s="257"/>
      <x:c r="D47" s="257"/>
      <x:c r="E47" s="257"/>
      <x:c r="F47" s="257"/>
      <x:c r="G47" s="257"/>
      <x:c r="H47" s="71"/>
      <x:c r="I47"/>
      <x:c r="J47"/>
      <x:c r="K47"/>
      <x:c r="L47"/>
      <x:c r="M47"/>
      <x:c r="N47"/>
    </x:row>
    <x:row r="48" ht="22" customHeight="1">
      <x:c r="A48" s="257"/>
      <x:c r="B48" s="257"/>
      <x:c r="C48" s="257"/>
      <x:c r="D48" s="257"/>
      <x:c r="E48" s="257"/>
      <x:c r="F48" s="257"/>
      <x:c r="G48" s="257"/>
      <x:c r="H48" s="28"/>
      <x:c r="I48"/>
      <x:c r="J48"/>
      <x:c r="K48"/>
      <x:c r="L48"/>
      <x:c r="M48"/>
      <x:c r="N48"/>
    </x:row>
    <x:row r="49" ht="22" customHeight="1">
      <x:c r="A49" s="257"/>
      <x:c r="B49" s="257"/>
      <x:c r="C49" s="257"/>
      <x:c r="D49" s="257"/>
      <x:c r="E49" s="257"/>
      <x:c r="F49" s="257"/>
      <x:c r="G49" s="257"/>
      <x:c r="H49" s="28"/>
      <x:c r="I49"/>
      <x:c r="J49"/>
      <x:c r="K49"/>
      <x:c r="L49"/>
      <x:c r="M49"/>
      <x:c r="N49"/>
    </x:row>
    <x:row r="50" ht="22" customHeight="1">
      <x:c r="A50" s="257"/>
      <x:c r="B50" s="257"/>
      <x:c r="C50" s="257"/>
      <x:c r="D50" s="257"/>
      <x:c r="E50" s="257"/>
      <x:c r="F50" s="257"/>
      <x:c r="G50" s="257"/>
      <x:c r="H50" s="28"/>
      <x:c r="I50"/>
      <x:c r="J50"/>
      <x:c r="K50"/>
      <x:c r="L50"/>
      <x:c r="M50"/>
      <x:c r="N50"/>
    </x:row>
    <x:row r="51" ht="24" customHeight="1">
      <x:c r="A51" s="142"/>
      <x:c r="B51" s="142"/>
      <x:c r="C51" s="142"/>
      <x:c r="D51" s="142"/>
      <x:c r="E51" s="142"/>
      <x:c r="F51" s="142"/>
      <x:c r="G51" s="142"/>
      <x:c r="H51"/>
      <x:c r="I51"/>
      <x:c r="J51"/>
      <x:c r="K51"/>
      <x:c r="L51"/>
      <x:c r="M51"/>
      <x:c r="N51"/>
    </x:row>
    <x:row r="52" ht="24" customHeight="1">
      <x:c r="A52" s="142"/>
      <x:c r="B52" s="142"/>
      <x:c r="C52" s="142"/>
      <x:c r="D52" s="142"/>
      <x:c r="E52" s="142"/>
      <x:c r="F52" s="142"/>
      <x:c r="G52" s="142"/>
      <x:c r="H52"/>
      <x:c r="I52"/>
      <x:c r="J52"/>
      <x:c r="K52"/>
      <x:c r="L52"/>
      <x:c r="M52"/>
      <x:c r="N52"/>
    </x:row>
    <x:row r="53">
      <x:c r="A53"/>
      <x:c r="B53"/>
      <x:c r="C53"/>
      <x:c r="D53"/>
      <x:c r="E53"/>
      <x:c r="F53"/>
      <x:c r="G53"/>
      <x:c r="H53"/>
      <x:c r="I53"/>
      <x:c r="J53"/>
      <x:c r="K53"/>
      <x:c r="L53"/>
      <x:c r="M53"/>
      <x:c r="N53"/>
    </x:row>
    <x:row r="54">
      <x:c r="A54"/>
      <x:c r="B54"/>
      <x:c r="C54"/>
      <x:c r="D54"/>
      <x:c r="E54"/>
      <x:c r="F54"/>
      <x:c r="G54"/>
      <x:c r="H54"/>
      <x:c r="I54"/>
      <x:c r="J54"/>
      <x:c r="K54"/>
      <x:c r="L54"/>
      <x:c r="M54"/>
      <x:c r="N54"/>
    </x:row>
    <x:row r="55">
      <x:c r="A55"/>
      <x:c r="B55"/>
      <x:c r="C55"/>
      <x:c r="D55"/>
      <x:c r="E55"/>
      <x:c r="F55"/>
      <x:c r="G55"/>
      <x:c r="H55"/>
      <x:c r="I55"/>
      <x:c r="J55"/>
      <x:c r="K55"/>
      <x:c r="L55"/>
      <x:c r="M55"/>
      <x:c r="N55"/>
    </x:row>
    <x:row r="56">
      <x:c r="A56"/>
      <x:c r="B56"/>
      <x:c r="C56"/>
      <x:c r="D56"/>
      <x:c r="E56"/>
      <x:c r="F56"/>
      <x:c r="G56"/>
      <x:c r="H56"/>
      <x:c r="I56"/>
      <x:c r="J56"/>
      <x:c r="K56"/>
      <x:c r="L56"/>
      <x:c r="M56"/>
      <x:c r="N56"/>
    </x:row>
    <x:row r="57">
      <x:c r="A57"/>
      <x:c r="B57"/>
      <x:c r="C57"/>
      <x:c r="D57"/>
      <x:c r="E57"/>
      <x:c r="F57"/>
      <x:c r="G57"/>
      <x:c r="H57"/>
      <x:c r="I57"/>
      <x:c r="J57"/>
      <x:c r="K57"/>
      <x:c r="L57"/>
      <x:c r="M57"/>
      <x:c r="N57"/>
    </x:row>
    <x:row r="58">
      <x:c r="A58"/>
      <x:c r="B58"/>
      <x:c r="C58"/>
      <x:c r="D58"/>
      <x:c r="E58"/>
      <x:c r="F58"/>
      <x:c r="G58"/>
      <x:c r="H58"/>
      <x:c r="I58"/>
      <x:c r="J58"/>
      <x:c r="K58"/>
      <x:c r="L58"/>
      <x:c r="M58"/>
      <x:c r="N58"/>
    </x:row>
    <x:row r="59">
      <x:c r="A59"/>
      <x:c r="B59"/>
      <x:c r="C59"/>
      <x:c r="D59"/>
      <x:c r="E59"/>
      <x:c r="F59"/>
      <x:c r="G59"/>
      <x:c r="H59"/>
      <x:c r="I59"/>
      <x:c r="J59"/>
      <x:c r="K59"/>
      <x:c r="L59"/>
      <x:c r="M59"/>
      <x:c r="N59"/>
    </x:row>
    <x:row r="60">
      <x:c r="A60"/>
      <x:c r="B60"/>
      <x:c r="C60"/>
      <x:c r="D60"/>
      <x:c r="E60"/>
      <x:c r="F60"/>
      <x:c r="G60"/>
      <x:c r="H60"/>
      <x:c r="I60"/>
      <x:c r="J60"/>
      <x:c r="K60"/>
      <x:c r="L60"/>
      <x:c r="M60"/>
      <x:c r="N60"/>
    </x:row>
  </x:sheetData>
  <x:mergeCells>
    <x:mergeCell ref="A1:E2"/>
    <x:mergeCell ref="A3:E3"/>
    <x:mergeCell ref="A8:E8"/>
    <x:mergeCell ref="A9:E10"/>
    <x:mergeCell ref="A17:E17"/>
    <x:mergeCell ref="A18:E20"/>
    <x:mergeCell ref="A21:E21"/>
    <x:mergeCell ref="A22:E24"/>
    <x:mergeCell ref="A25:E25"/>
    <x:mergeCell ref="A26:E28"/>
    <x:mergeCell ref="A29:E29"/>
    <x:mergeCell ref="A30:E32"/>
    <x:mergeCell ref="A33:E33"/>
    <x:mergeCell ref="A34:E36"/>
    <x:mergeCell ref="A37:E37"/>
    <x:mergeCell ref="A38:E40"/>
  </x:mergeCells>
  <x:pageMargins left="0.7" right="0.7" top="0.75" bottom="0.75" header="0.3" footer="0.3"/>
</x:worksheet>
</file>

<file path=xl/worksheets/sheet8.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1" hidden="0" customWidth="1"/>
    <x:col min="2" max="2" width="43" hidden="0" customWidth="1"/>
    <x:col min="3" max="3" width="44" hidden="0" customWidth="1"/>
    <x:col min="4" max="4" width="24" hidden="0" customWidth="1"/>
    <x:col min="5" max="5" width="25" hidden="0" customWidth="1"/>
    <x:col min="6" max="6" width="40" hidden="0" customWidth="1"/>
    <x:col min="7" max="7" width="47" hidden="0" customWidth="1"/>
    <x:col min="8" max="8" width="43" hidden="0" customWidth="1"/>
    <x:col min="9" max="9" width="41" hidden="0" customWidth="1"/>
    <x:col min="10" max="10" width="35" hidden="0" customWidth="1"/>
    <x:col min="11" max="11" width="42" hidden="0" customWidth="1"/>
    <x:col min="12" max="12" width="54" hidden="0" customWidth="1"/>
    <x:col min="13" max="13" width="22" hidden="0" customWidth="1"/>
    <x:col min="14" max="14" width="41" hidden="0" customWidth="1"/>
  </x:cols>
  <x:sheetData>
    <x:row r="1" ht="30" customHeight="1">
      <x:c r="A1" s="95" t="str">
        <x:v>MERLIN | Research source register v0.10 | 22 October 2026</x:v>
      </x:c>
      <x:c r="B1" s="95"/>
      <x:c r="C1" s="95"/>
      <x:c r="D1" s="95"/>
      <x:c r="E1" s="95"/>
      <x:c r="F1" s="95"/>
      <x:c r="G1" s="95"/>
      <x:c r="H1" s="95"/>
      <x:c r="I1" s="95"/>
      <x:c r="J1" s="95"/>
      <x:c r="K1" s="95"/>
      <x:c r="L1" s="95"/>
      <x:c r="M1" s="95"/>
      <x:c r="N1" s="95"/>
    </x:row>
    <x:row r="2" ht="30" customHeight="1">
      <x:c r="A2" s="98" t="str">
        <x:v>S01–S124 retained; S125–S140 added. Technical profile v0.3.5 unchanged. Read the OSCAR Summary and source-access boundaries.</x:v>
      </x:c>
      <x:c r="B2" s="98"/>
      <x:c r="C2" s="98"/>
      <x:c r="D2" s="98"/>
      <x:c r="E2" s="98"/>
      <x:c r="F2" s="98"/>
      <x:c r="G2" s="98"/>
      <x:c r="H2" s="98"/>
      <x:c r="I2" s="98"/>
      <x:c r="J2" s="98"/>
      <x:c r="K2" s="98"/>
      <x:c r="L2" s="98"/>
      <x:c r="M2" s="98"/>
      <x:c r="N2" s="98"/>
    </x:row>
    <x:row r="3" ht="30" customHeight="1">
      <x:c r="A3" s="241" t="str">
        <x:v>v0.7 • Current family-level scope in the paper §1 and Family Applicability; source IDs remain stable.</x:v>
      </x:c>
      <x:c r="B3" s="241"/>
      <x:c r="C3" s="241"/>
      <x:c r="D3" s="241"/>
      <x:c r="E3" s="241"/>
      <x:c r="F3" s="241"/>
      <x:c r="G3" s="241"/>
      <x:c r="H3" s="241"/>
      <x:c r="I3" s="241"/>
      <x:c r="J3" s="241"/>
      <x:c r="K3" s="241"/>
      <x:c r="L3" s="241"/>
      <x:c r="M3" s="241"/>
      <x:c r="N3" s="241"/>
    </x:row>
    <x:row r="4" ht="9" customHeight="1">
      <x:c r="A4" s="89"/>
      <x:c r="B4" s="89"/>
      <x:c r="C4" s="89"/>
      <x:c r="D4" s="89"/>
      <x:c r="E4" s="89"/>
      <x:c r="F4" s="89"/>
      <x:c r="G4" s="89"/>
      <x:c r="H4" s="89"/>
      <x:c r="I4" s="89"/>
      <x:c r="J4" s="89"/>
      <x:c r="K4" s="89"/>
      <x:c r="L4" s="89"/>
      <x:c r="M4" s="89"/>
      <x:c r="N4" s="89"/>
    </x:row>
    <x:row r="5" ht="38" customHeight="1">
      <x:c r="A5" s="308" t="str">
        <x:v>ID</x:v>
      </x:c>
      <x:c r="B5" s="308" t="str">
        <x:v>Source / artifact</x:v>
      </x:c>
      <x:c r="C5" s="308" t="str">
        <x:v>DISR evidence state</x:v>
      </x:c>
      <x:c r="D5" s="308" t="str">
        <x:v>DoD status</x:v>
      </x:c>
      <x:c r="E5" s="308" t="str">
        <x:v>IC status</x:v>
      </x:c>
      <x:c r="F5" s="308" t="str">
        <x:v>DISR evidence locator</x:v>
      </x:c>
      <x:c r="G5" s="308" t="str">
        <x:v>DISR recommendation</x:v>
      </x:c>
      <x:c r="H5" s="308" t="str">
        <x:v>NATO evidence state</x:v>
      </x:c>
      <x:c r="I5" s="308" t="str">
        <x:v>NATO evidence locator</x:v>
      </x:c>
      <x:c r="J5" s="308" t="str">
        <x:v>NATO recommendation</x:v>
      </x:c>
      <x:c r="K5" s="308" t="str">
        <x:v>Action trigger / prerequisite</x:v>
      </x:c>
      <x:c r="L5" s="308" t="str">
        <x:v>Source URL / locator</x:v>
      </x:c>
      <x:c r="M5" s="308" t="str">
        <x:v>Checked</x:v>
      </x:c>
      <x:c r="N5" s="308" t="str">
        <x:v>Decision authority boundary</x:v>
      </x:c>
    </x:row>
    <x:row r="6" ht="257" hidden="0" customHeight="1">
      <x:c r="A6" s="309" t="str">
        <x:v>S01</x:v>
      </x:c>
      <x:c r="B6" s="310" t="str">
        <x:v>OGC SensorML Encoding Standard</x:v>
      </x:c>
      <x:c r="C6" s="310" t="str">
        <x:v>Present — exact edition</x:v>
      </x:c>
      <x:c r="D6" s="310" t="str">
        <x:v>Emerging</x:v>
      </x:c>
      <x:c r="E6" s="310" t="str">
        <x:v>IC-Emerging</x:v>
      </x:c>
      <x:c r="F6" s="310" t="str">
        <x:v>S25: authoritative current baseline; exact source identity/edition and whole-export checks</x:v>
      </x:c>
      <x:c r="G6" s="310" t="str">
        <x:v>SensorML 3.0 is in the authoritative current DISR baseline as Emerging / IC-Emerging. Recommend no request to add an already listed edition; assess any status-transition proposal through existing work and avoid a duplicate submission. Older mandated editions retain their own records and must not be automatically retired by this research (S25; “StandardsReport” 2026).</x:v>
      </x:c>
      <x:c r="H6" s="310" t="str">
        <x:v>4789 RD route; exact AEP clause not freshly inspected</x:v>
      </x:c>
      <x:c r="I6" s="310" t="str">
        <x:v>NSO letter 28 Aug 2026 + covering agreement; actual AEP Volume II not recovered</x:v>
      </x:c>
      <x:c r="J6" s="310" t="str">
        <x:v>The supplied NSO letter places STANAG 4789 Edition 1 in Ratification Draft 1, with responses due November 28, 2026; the covering text assigns core APIs and encodings to AEP-4789 Volume II (NATO Standardization Office 2026, cover letter and “Interoperability Requirements”). The project handoff associates this OGC edition with that package, but the actual Volume II clauses were not recovered for fresh inspection. Coordinate through the existing custodial route, verify the exact adopted edition and national implementation obligations, and assess a NISP/profile update when warranted; do not propose a duplicate STANAG or describe ratification as promulgation.</x:v>
      </x:c>
      <x:c r="K6" s="310" t="str">
        <x:v>A justified content or partner-exchange need; not an active compliance-test gate.</x:v>
      </x:c>
      <x:c r="L6" s="310" t="str">
        <x:v>https://docs.ogc.org/is/23-000/23-000.html</x:v>
      </x:c>
      <x:c r="M6" s="310" t="str">
        <x:v>2026-10-12</x:v>
      </x:c>
      <x:c r="N6" s="310" t="str">
        <x:v>Research recommendation only. Baseline authoritative; implementation and governance decisions remain separate.</x:v>
      </x:c>
    </x:row>
    <x:row r="7" ht="257" hidden="0" customHeight="1">
      <x:c r="A7" s="312" t="str">
        <x:v>S02</x:v>
      </x:c>
      <x:c r="B7" s="313" t="str">
        <x:v>OGC SWE Common Data Model Encoding Standard</x:v>
      </x:c>
      <x:c r="C7" s="313" t="str">
        <x:v>Present — exact edition</x:v>
      </x:c>
      <x:c r="D7" s="313" t="str">
        <x:v>Emerging</x:v>
      </x:c>
      <x:c r="E7" s="313" t="str">
        <x:v>IC-Emerging</x:v>
      </x:c>
      <x:c r="F7" s="313" t="str">
        <x:v>S25: authoritative current baseline; exact source identity/edition and whole-export checks</x:v>
      </x:c>
      <x:c r="G7" s="313" t="str">
        <x:v>SWE Common 3.0 is in the authoritative current DISR baseline as Emerging / IC-Emerging. Recommend no request to add an already listed edition; assess any status-transition proposal through existing work and avoid a duplicate submission. Older mandated editions retain their own records and must not be automatically retired by this research (S25; “StandardsReport” 2026).</x:v>
      </x:c>
      <x:c r="H7" s="313" t="str">
        <x:v>4789 RD route; exact AEP clause not freshly inspected</x:v>
      </x:c>
      <x:c r="I7" s="313" t="str">
        <x:v>NSO letter 28 Aug 2026 + covering agreement; actual AEP Volume II not recovered</x:v>
      </x:c>
      <x:c r="J7" s="313" t="str">
        <x:v>The supplied NSO letter places STANAG 4789 Edition 1 in Ratification Draft 1, with responses due November 28, 2026; the covering text assigns core APIs and encodings to AEP-4789 Volume II (NATO Standardization Office 2026, cover letter and “Interoperability Requirements”). The project handoff associates this OGC edition with that package, but the actual Volume II clauses were not recovered for fresh inspection. Coordinate through the existing custodial route, verify the exact adopted edition and national implementation obligations, and assess a NISP/profile update when warranted; do not propose a duplicate STANAG or describe ratification as promulgation.</x:v>
      </x:c>
      <x:c r="K7" s="313" t="str">
        <x:v>A justified content or partner-exchange need; not an active compliance-test gate.</x:v>
      </x:c>
      <x:c r="L7" s="313" t="str">
        <x:v>https://docs.ogc.org/is/24-014/24-014.html</x:v>
      </x:c>
      <x:c r="M7" s="313" t="str">
        <x:v>2026-10-12</x:v>
      </x:c>
      <x:c r="N7" s="313" t="str">
        <x:v>Research recommendation only. Baseline authoritative; implementation and governance decisions remain separate.</x:v>
      </x:c>
    </x:row>
    <x:row r="8" ht="257" hidden="0" customHeight="1">
      <x:c r="A8" s="309" t="str">
        <x:v>S03</x:v>
      </x:c>
      <x:c r="B8" s="310" t="str">
        <x:v>OGC API – Connected Systems – Part 1: Feature Resources</x:v>
      </x:c>
      <x:c r="C8" s="310" t="str">
        <x:v>Present — exact edition</x:v>
      </x:c>
      <x:c r="D8" s="310" t="str">
        <x:v>Emerging</x:v>
      </x:c>
      <x:c r="E8" s="310" t="str">
        <x:v>IC-Emerging</x:v>
      </x:c>
      <x:c r="F8" s="310" t="str">
        <x:v>S25: authoritative current baseline; exact source identity/edition and whole-export checks</x:v>
      </x:c>
      <x:c r="G8" s="310" t="str">
        <x:v>CSAPI Part 1 v1.0 is in the authoritative current DISR baseline as Emerging / IC-Emerging. Recommend no request to add an already listed edition; assess any status-transition proposal through existing work and avoid a duplicate submission. Older related SWE standards retain separate records; this review does not establish older mandated CSAPI editions (S25; “StandardsReport” 2026).</x:v>
      </x:c>
      <x:c r="H8" s="310" t="str">
        <x:v>4789 RD route; exact AEP clause not freshly inspected</x:v>
      </x:c>
      <x:c r="I8" s="310" t="str">
        <x:v>NSO letter 28 Aug 2026 + covering agreement; actual AEP Volume II not recovered</x:v>
      </x:c>
      <x:c r="J8" s="310" t="str">
        <x:v>The supplied NSO letter places STANAG 4789 Edition 1 in Ratification Draft 1, with responses due November 28, 2026; the covering text assigns core APIs and encodings to AEP-4789 Volume II (NATO Standardization Office 2026, cover letter and “Interoperability Requirements”). The project handoff associates this OGC edition with that package, but the actual Volume II clauses were not recovered for fresh inspection. Coordinate through the existing custodial route, verify the exact adopted edition and national implementation obligations, and assess a NISP/profile update when warranted; do not propose a duplicate STANAG or describe ratification as promulgation.</x:v>
      </x:c>
      <x:c r="K8" s="310" t="str">
        <x:v>A justified content or partner-exchange need; not an active compliance-test gate.</x:v>
      </x:c>
      <x:c r="L8" s="310" t="str">
        <x:v>https://docs.ogc.org/is/23-001/23-001.html</x:v>
      </x:c>
      <x:c r="M8" s="310" t="str">
        <x:v>2026-10-12</x:v>
      </x:c>
      <x:c r="N8" s="310" t="str">
        <x:v>Research recommendation only. Baseline authoritative; implementation and governance decisions remain separate.</x:v>
      </x:c>
    </x:row>
    <x:row r="9" ht="257" hidden="0" customHeight="1">
      <x:c r="A9" s="312" t="str">
        <x:v>S04</x:v>
      </x:c>
      <x:c r="B9" s="313" t="str">
        <x:v>OGC API – Connected Systems – Part 2: Dynamic Data</x:v>
      </x:c>
      <x:c r="C9" s="313" t="str">
        <x:v>Present — exact edition</x:v>
      </x:c>
      <x:c r="D9" s="313" t="str">
        <x:v>Emerging</x:v>
      </x:c>
      <x:c r="E9" s="313" t="str">
        <x:v>IC-Emerging</x:v>
      </x:c>
      <x:c r="F9" s="313" t="str">
        <x:v>S25: authoritative current baseline; exact source identity/edition and whole-export checks</x:v>
      </x:c>
      <x:c r="G9" s="313" t="str">
        <x:v>CSAPI Part 2 v1.0 is in the authoritative current DISR baseline as Emerging / IC-Emerging. Recommend no request to add an already listed edition; assess any status-transition proposal through existing work and avoid a duplicate submission. Older related SWE standards retain separate records; this review does not establish older mandated CSAPI editions (S25; “StandardsReport” 2026).</x:v>
      </x:c>
      <x:c r="H9" s="313" t="str">
        <x:v>4789 RD route; exact AEP clause not freshly inspected</x:v>
      </x:c>
      <x:c r="I9" s="313" t="str">
        <x:v>NSO letter 28 Aug 2026 + covering agreement; actual AEP Volume II not recovered</x:v>
      </x:c>
      <x:c r="J9" s="313" t="str">
        <x:v>The supplied NSO letter places STANAG 4789 Edition 1 in Ratification Draft 1, with responses due November 28, 2026; the covering text assigns core APIs and encodings to AEP-4789 Volume II (NATO Standardization Office 2026, cover letter and “Interoperability Requirements”). The project handoff associates this OGC edition with that package, but the actual Volume II clauses were not recovered for fresh inspection. Coordinate through the existing custodial route, verify the exact adopted edition and national implementation obligations, and assess a NISP/profile update when warranted; do not propose a duplicate STANAG or describe ratification as promulgation.</x:v>
      </x:c>
      <x:c r="K9" s="313" t="str">
        <x:v>A justified content or partner-exchange need; not an active compliance-test gate.</x:v>
      </x:c>
      <x:c r="L9" s="313" t="str">
        <x:v>https://docs.ogc.org/is/23-002/23-002.html</x:v>
      </x:c>
      <x:c r="M9" s="313" t="str">
        <x:v>2026-10-12</x:v>
      </x:c>
      <x:c r="N9" s="313" t="str">
        <x:v>Research recommendation only. Baseline authoritative; implementation and governance decisions remain separate.</x:v>
      </x:c>
    </x:row>
    <x:row r="10" ht="244" hidden="0" customHeight="1">
      <x:c r="A10" s="309" t="str">
        <x:v>S05</x:v>
      </x:c>
      <x:c r="B10" s="310" t="str">
        <x:v>OPC Unified Architecture – Part 100: Devices</x:v>
      </x:c>
      <x:c r="C10" s="310" t="str">
        <x:v>Absent from authoritative current baseline</x:v>
      </x:c>
      <x:c r="D10" s="310" t="str">
        <x:v>Not listed</x:v>
      </x:c>
      <x:c r="E10" s="310" t="str">
        <x:v>Not listed</x:v>
      </x:c>
      <x:c r="F10" s="310" t="str">
        <x:v>S25: authoritative current baseline; exact source identity/edition and whole-export checks</x:v>
      </x:c>
      <x:c r="G10" s="310" t="str">
        <x:v>OPC UA Devices 1.05.0 (OPC 10000-100) is absent from the authoritative current DISR baseline; no separate DoD or IC adoption status is listed. No addition is recommended while its role is composition guidance. Investigate competitive selection history separately; absence is established, but no rejection history or winning alternative is established. (S25; “StandardsReport” 2026; this study’s assessment.)</x:v>
      </x:c>
      <x:c r="H10" s="310" t="str">
        <x:v>No exact adoption demonstrated</x:v>
      </x:c>
      <x:c r="I10" s="310" t="str">
        <x:v>Source-specific narrative + historical NISP context; no current blanket NATO adoption established</x:v>
      </x:c>
      <x:c r="J10" s="310" t="str">
        <x:v>No exact NATO adoption of this artifact is demonstrated by the material inspected for this revision. The public NISP material available here is historical or draft, so this is an unresolved current-status check, not a finding that NATO excludes it. Before any submission, distinguish a native OPC UA device requirement from a CSAPI mapping of selected concepts, and identify an actual coalition interoperability need. Recommend no present adoption request; a selected, tested binding could justify custodian coordination and an applicable NISP profile RFC rather than adoption of the whole OPC UA stack (North Atlantic Treaty Organization 2023, chap. 5).</x:v>
      </x:c>
      <x:c r="K10" s="310" t="str">
        <x:v>A justified content or partner-exchange need; not an active compliance-test gate.</x:v>
      </x:c>
      <x:c r="L10" s="310" t="str">
        <x:v>https://reference.opcfoundation.org/specs/OPC-10000-100/v1.05.0</x:v>
      </x:c>
      <x:c r="M10" s="310" t="str">
        <x:v>2026-10-12</x:v>
      </x:c>
      <x:c r="N10" s="310" t="str">
        <x:v>Research recommendation only. Baseline authoritative; implementation and governance decisions remain separate.</x:v>
      </x:c>
    </x:row>
    <x:row r="11" ht="231" hidden="0" customHeight="1">
      <x:c r="A11" s="312" t="str">
        <x:v>S06</x:v>
      </x:c>
      <x:c r="B11" s="313" t="str">
        <x:v>OPC UA for Process Automation Devices – PA-DIM</x:v>
      </x:c>
      <x:c r="C11" s="313" t="str">
        <x:v>Absent from authoritative current baseline</x:v>
      </x:c>
      <x:c r="D11" s="313" t="str">
        <x:v>Not listed</x:v>
      </x:c>
      <x:c r="E11" s="313" t="str">
        <x:v>Not listed</x:v>
      </x:c>
      <x:c r="F11" s="313" t="str">
        <x:v>S25: authoritative current baseline; exact source identity/edition and whole-export checks</x:v>
      </x:c>
      <x:c r="G11" s="313" t="str">
        <x:v>PA-DIM 1.02.0 (OPC 30081) is absent from the authoritative current DISR baseline; no separate DoD or IC adoption status is listed. No addition is recommended for a donor-model comparison. A native proposal would need an exact PA-DIM implementation target, process-device fit and dependency assessment. (S25; “StandardsReport” 2026; this study’s assessment.)</x:v>
      </x:c>
      <x:c r="H11" s="313" t="str">
        <x:v>No exact adoption demonstrated</x:v>
      </x:c>
      <x:c r="I11" s="313" t="str">
        <x:v>Source-specific narrative + historical NISP context; no current blanket NATO adoption established</x:v>
      </x:c>
      <x:c r="J11" s="313" t="str">
        <x:v>No exact NATO adoption of this artifact is demonstrated by the material inspected for this revision. The public NISP material available here is historical or draft, so this is an unresolved current-status check, not a finding that NATO excludes it. Process-automation relevance is not itself evidence of NATO JISR applicability. The recommended action is a bounded model-fit review and, only if a real coalition requirement follows, coordination on the applicable technical profile and edition rather than a blanket PA-DIM adoption proposal (North Atlantic Treaty Organization 2023, chap. 5).</x:v>
      </x:c>
      <x:c r="K11" s="313" t="str">
        <x:v>A justified content or partner-exchange need; not an active compliance-test gate.</x:v>
      </x:c>
      <x:c r="L11" s="313" t="str">
        <x:v>https://reference.opcfoundation.org/specs/OPC-30081</x:v>
      </x:c>
      <x:c r="M11" s="313" t="str">
        <x:v>2026-10-12</x:v>
      </x:c>
      <x:c r="N11" s="313" t="str">
        <x:v>Research recommendation only. Baseline authoritative; implementation and governance decisions remain separate.</x:v>
      </x:c>
    </x:row>
    <x:row r="12" ht="257" hidden="0" customHeight="1">
      <x:c r="A12" s="309" t="str">
        <x:v>S07</x:v>
      </x:c>
      <x:c r="B12" s="310" t="str">
        <x:v>Specification of the Asset Administration Shell – Part 1: Metamodel</x:v>
      </x:c>
      <x:c r="C12" s="310" t="str">
        <x:v>Absent from authoritative current baseline</x:v>
      </x:c>
      <x:c r="D12" s="310" t="str">
        <x:v>Not listed</x:v>
      </x:c>
      <x:c r="E12" s="310" t="str">
        <x:v>Not listed</x:v>
      </x:c>
      <x:c r="F12" s="310" t="str">
        <x:v>S25: authoritative current baseline; exact source identity/edition and whole-export checks</x:v>
      </x:c>
      <x:c r="G12" s="310" t="str">
        <x:v>AAS Metamodel 3.2 / IEC 63278 family identifiers is absent from the authoritative current DISR baseline; no separate DoD or IC adoption status is listed. Do not propose adoption of a metamodel merely because aspect grouping is useful. Identify an actual AAS artifact and template before a candidate change request. (S25; “StandardsReport” 2026; this study’s assessment.)</x:v>
      </x:c>
      <x:c r="H12" s="310" t="str">
        <x:v>No exact adoption demonstrated</x:v>
      </x:c>
      <x:c r="I12" s="310" t="str">
        <x:v>Source-specific narrative + historical NISP context; no current blanket NATO adoption established</x:v>
      </x:c>
      <x:c r="J12" s="310" t="str">
        <x:v>No exact NATO adoption of this artifact is demonstrated by the material inspected for this revision. The public NISP material available here is historical or draft, so this is an unresolved current-status check, not a finding that NATO excludes it. AAS’s industrial audience and available semantics do not by themselves establish an Alliance requirement for an AAS architecture. Recommend no present NATO addition; if a selected submodel proves useful, propose its exact content and conformance boundary through the relevant profile owner, with native AAS infrastructure assessed separately (North Atlantic Treaty Organization 2023, chap. 5). DEVICE AND EQUIPMENT MODELS</x:v>
      </x:c>
      <x:c r="K12" s="310" t="str">
        <x:v>A justified content or partner-exchange need; not an active compliance-test gate.</x:v>
      </x:c>
      <x:c r="L12" s="310" t="str">
        <x:v>https://industrialdigitaltwin.io/aas-specifications/IDTA-01001/v3.2/index.html</x:v>
      </x:c>
      <x:c r="M12" s="310" t="str">
        <x:v>2026-10-12</x:v>
      </x:c>
      <x:c r="N12" s="310" t="str">
        <x:v>Research recommendation only. Baseline authoritative; implementation and governance decisions remain separate.</x:v>
      </x:c>
    </x:row>
    <x:row r="13" ht="231" hidden="0" customHeight="1">
      <x:c r="A13" s="312" t="str">
        <x:v>S08</x:v>
      </x:c>
      <x:c r="B13" s="313" t="str">
        <x:v>A YANG Data Model for Hardware Management</x:v>
      </x:c>
      <x:c r="C13" s="313" t="str">
        <x:v>Present — exact edition</x:v>
      </x:c>
      <x:c r="D13" s="313" t="str">
        <x:v>Mandated</x:v>
      </x:c>
      <x:c r="E13" s="313" t="str">
        <x:v>IC-Mandated</x:v>
      </x:c>
      <x:c r="F13" s="313" t="str">
        <x:v>S25: authoritative current baseline; exact source identity/edition and whole-export checks</x:v>
      </x:c>
      <x:c r="G13" s="313" t="str">
        <x:v>No addition: RFC 8348 is already Mandated / IC-Mandated. No new implementation or status action is justified by the worked records.</x:v>
      </x:c>
      <x:c r="H13" s="313" t="str">
        <x:v>No exact adoption demonstrated</x:v>
      </x:c>
      <x:c r="I13" s="313" t="str">
        <x:v>Source-specific narrative + historical NISP context; no current blanket NATO adoption established</x:v>
      </x:c>
      <x:c r="J13" s="313" t="str">
        <x:v>No exact NATO adoption of this artifact is demonstrated by the material inspected for this revision. The public NISP material available here is historical or draft, so this is an unresolved current-status check, not a finding that NATO excludes it. Its DISR mandate does not establish NATO adoption, nor does adoption of YANG generally establish adoption of this hardware module. Verify the relevant NATO network-management or JISR profile before proposing a targeted addition; only the selected use and exact edition should drive a request (North Atlantic Treaty Organization 2023, chap. 5).</x:v>
      </x:c>
      <x:c r="K13" s="313" t="str">
        <x:v>A justified content or partner-exchange need; not an active compliance-test gate.</x:v>
      </x:c>
      <x:c r="L13" s="313" t="str">
        <x:v>https://www.rfc-editor.org/rfc/rfc8348.html</x:v>
      </x:c>
      <x:c r="M13" s="313" t="str">
        <x:v>2026-10-12</x:v>
      </x:c>
      <x:c r="N13" s="313" t="str">
        <x:v>Research recommendation only. Baseline authoritative; implementation and governance decisions remain separate.</x:v>
      </x:c>
    </x:row>
    <x:row r="14" ht="244" hidden="0" customHeight="1">
      <x:c r="A14" s="309" t="str">
        <x:v>S09</x:v>
      </x:c>
      <x:c r="B14" s="310" t="str">
        <x:v>Definition of Managed Objects for Battery Monitoring</x:v>
      </x:c>
      <x:c r="C14" s="310" t="str">
        <x:v>Absent from authoritative current baseline</x:v>
      </x:c>
      <x:c r="D14" s="310" t="str">
        <x:v>Not listed</x:v>
      </x:c>
      <x:c r="E14" s="310" t="str">
        <x:v>Not listed</x:v>
      </x:c>
      <x:c r="F14" s="310" t="str">
        <x:v>S25: authoritative current baseline; exact source identity/edition and whole-export checks</x:v>
      </x:c>
      <x:c r="G14" s="310" t="str">
        <x:v>RFC 7577 is absent from the authoritative current DISR baseline; no separate DoD or IC adoption status is listed. No request is recommended for the present semantic-reference use. Reconsider only for a justified exact native MIB or separately governed binding requirement. (S25; “StandardsReport” 2026; this study’s assessment.)</x:v>
      </x:c>
      <x:c r="H14" s="310" t="str">
        <x:v>No exact adoption demonstrated</x:v>
      </x:c>
      <x:c r="I14" s="310" t="str">
        <x:v>Source-specific narrative + historical NISP context; no current blanket NATO adoption established</x:v>
      </x:c>
      <x:c r="J14" s="310" t="str">
        <x:v>No exact NATO adoption of this artifact is demonstrated by the material inspected for this revision. The public NISP material available here is historical or draft, so this is an unresolved current-status check, not a finding that NATO excludes it. No NATO battery-management requirement was established by the inspected material. Coordinate with the Power Source workstream before a standards action; a future request should state the chosen quantities, source instrumentation, unit and identity rules, and whether native management behavior is required or deliberately excluded (North Atlantic Treaty Organization 2023, chap. 5).</x:v>
      </x:c>
      <x:c r="K14" s="310" t="str">
        <x:v>A justified content or partner-exchange need; not an active compliance-test gate.</x:v>
      </x:c>
      <x:c r="L14" s="310" t="str">
        <x:v>https://www.rfc-editor.org/rfc/rfc7577.html</x:v>
      </x:c>
      <x:c r="M14" s="310" t="str">
        <x:v>2026-10-12</x:v>
      </x:c>
      <x:c r="N14" s="310" t="str">
        <x:v>Research recommendation only. Baseline authoritative; implementation and governance decisions remain separate.</x:v>
      </x:c>
    </x:row>
    <x:row r="15" ht="244" hidden="0" customHeight="1">
      <x:c r="A15" s="312" t="str">
        <x:v>S10</x:v>
      </x:c>
      <x:c r="B15" s="313" t="str">
        <x:v>Energy Management Framework</x:v>
      </x:c>
      <x:c r="C15" s="313" t="str">
        <x:v>Absent from authoritative current baseline</x:v>
      </x:c>
      <x:c r="D15" s="313" t="str">
        <x:v>Not listed</x:v>
      </x:c>
      <x:c r="E15" s="313" t="str">
        <x:v>Not listed</x:v>
      </x:c>
      <x:c r="F15" s="313" t="str">
        <x:v>S25: authoritative current baseline; exact source identity/edition and whole-export checks</x:v>
      </x:c>
      <x:c r="G15" s="313" t="str">
        <x:v>RFC 7326 is absent from the authoritative current DISR baseline; no separate DoD or IC adoption status is listed. No request is recommended for an informative relationship precedent. Any management implementation would first identify its actual normative specifications. (S25; “StandardsReport” 2026; this study’s assessment.)</x:v>
      </x:c>
      <x:c r="H15" s="313" t="str">
        <x:v>No exact adoption demonstrated</x:v>
      </x:c>
      <x:c r="I15" s="313" t="str">
        <x:v>Source-specific narrative + historical NISP context; no current blanket NATO adoption established</x:v>
      </x:c>
      <x:c r="J15" s="313" t="str">
        <x:v>No exact NATO adoption of this artifact is demonstrated by the material inspected for this revision. The public NISP material available here is historical or draft, so this is an unresolved current-status check, not a finding that NATO excludes it. A NATO profile can use supporting informative material without making that material an implemented protocol. If the relationship becomes necessary, ask the profile owner whether a scoped informative reference or a normative binding is appropriate, and submit only the artifact that actually establishes the required behavior (North Atlantic Treaty Organization 2023, appendix A and chap. 5).</x:v>
      </x:c>
      <x:c r="K15" s="313" t="str">
        <x:v>A justified content or partner-exchange need; not an active compliance-test gate.</x:v>
      </x:c>
      <x:c r="L15" s="313" t="str">
        <x:v>https://www.rfc-editor.org/rfc/rfc7326.html</x:v>
      </x:c>
      <x:c r="M15" s="313" t="str">
        <x:v>2026-10-12</x:v>
      </x:c>
      <x:c r="N15" s="313" t="str">
        <x:v>Research recommendation only. Baseline authoritative; implementation and governance decisions remain separate.</x:v>
      </x:c>
    </x:row>
    <x:row r="16" ht="244" hidden="0" customHeight="1">
      <x:c r="A16" s="309" t="str">
        <x:v>S11</x:v>
      </x:c>
      <x:c r="B16" s="310" t="str">
        <x:v>Web of Things (WoT) Architecture 1.1</x:v>
      </x:c>
      <x:c r="C16" s="310" t="str">
        <x:v>Absent from authoritative current baseline</x:v>
      </x:c>
      <x:c r="D16" s="310" t="str">
        <x:v>Not listed</x:v>
      </x:c>
      <x:c r="E16" s="310" t="str">
        <x:v>Not listed</x:v>
      </x:c>
      <x:c r="F16" s="310" t="str">
        <x:v>S25: authoritative current baseline; exact source identity/edition and whole-export checks</x:v>
      </x:c>
      <x:c r="G16" s="310" t="str">
        <x:v>WoT Architecture 1.1 is absent from the authoritative current DISR baseline; no separate DoD or IC adoption status is listed. No request is recommended for the present architecture-comparison role. (S25; “StandardsReport” 2026; this study’s assessment.)</x:v>
      </x:c>
      <x:c r="H16" s="310" t="str">
        <x:v>No exact adoption demonstrated</x:v>
      </x:c>
      <x:c r="I16" s="310" t="str">
        <x:v>Source-specific narrative + historical NISP context; no current blanket NATO adoption established</x:v>
      </x:c>
      <x:c r="J16" s="310" t="str">
        <x:v>No exact NATO adoption of this artifact is demonstrated by the material inspected for this revision. The public NISP material available here is historical or draft, so this is an unresolved current-status check, not a finding that NATO excludes it. General IoT applicability is insufficient to justify another Alliance-facing interface in MERLIN. Recommend retaining WoT as comparative evidence unless an identified interoperability partner requires it, then evaluate the exact Recommendation, description/profile dependency, and applicable NATO service profile before an RFC (North Atlantic Treaty Organization 2023, chap. 5).</x:v>
      </x:c>
      <x:c r="K16" s="310" t="str">
        <x:v>A justified content or partner-exchange need; not an active compliance-test gate.</x:v>
      </x:c>
      <x:c r="L16" s="310" t="str">
        <x:v>https://www.w3.org/TR/2023/REC-wot-architecture11-20231205/</x:v>
      </x:c>
      <x:c r="M16" s="310" t="str">
        <x:v>2026-10-12</x:v>
      </x:c>
      <x:c r="N16" s="310" t="str">
        <x:v>Research recommendation only. Baseline authoritative; implementation and governance decisions remain separate.</x:v>
      </x:c>
    </x:row>
    <x:row r="17" ht="218" hidden="0" customHeight="1">
      <x:c r="A17" s="312" t="str">
        <x:v>S12</x:v>
      </x:c>
      <x:c r="B17" s="313" t="str">
        <x:v>SAREF: The Smart Applications REFerence Ontology</x:v>
      </x:c>
      <x:c r="C17" s="313" t="str">
        <x:v>Absent from authoritative current baseline</x:v>
      </x:c>
      <x:c r="D17" s="313" t="str">
        <x:v>Not listed</x:v>
      </x:c>
      <x:c r="E17" s="313" t="str">
        <x:v>Not listed</x:v>
      </x:c>
      <x:c r="F17" s="313" t="str">
        <x:v>S25: authoritative current baseline; exact source identity/edition and whole-export checks</x:v>
      </x:c>
      <x:c r="G17" s="313" t="str">
        <x:v>SAREF Core 4.1.1 is absent from the authoritative current DISR baseline; no separate DoD or IC adoption status is listed. No request is recommended before exact assertions, normative use and an implementation need are selected. (S25; “StandardsReport” 2026; this study’s assessment.)</x:v>
      </x:c>
      <x:c r="H17" s="313" t="str">
        <x:v>No exact adoption demonstrated</x:v>
      </x:c>
      <x:c r="I17" s="313" t="str">
        <x:v>Source-specific narrative + historical NISP context; no current blanket NATO adoption established</x:v>
      </x:c>
      <x:c r="J17" s="313" t="str">
        <x:v>No exact NATO adoption of this artifact is demonstrated by the material inspected for this revision. The public NISP material available here is historical or draft, so this is an unresolved current-status check, not a finding that NATO excludes it. SAREF’s presence in a W3C architectural example is not NATO endorsement. A justified NATO action would name the chosen ontology release and domain binding and explain its compatibility with the existing sensor semantics, rather than ask for an undifferentiated SAREF adoption (North Atlantic Treaty Organization 2023, chap. 5).</x:v>
      </x:c>
      <x:c r="K17" s="313" t="str">
        <x:v>A justified content or partner-exchange need; not an active compliance-test gate.</x:v>
      </x:c>
      <x:c r="L17" s="313" t="str">
        <x:v>https://saref.etsi.org/core/v4.1.1/</x:v>
      </x:c>
      <x:c r="M17" s="313" t="str">
        <x:v>2026-10-12</x:v>
      </x:c>
      <x:c r="N17" s="313" t="str">
        <x:v>Research recommendation only. Baseline authoritative; implementation and governance decisions remain separate.</x:v>
      </x:c>
    </x:row>
    <x:row r="18" ht="257" hidden="0" customHeight="1">
      <x:c r="A18" s="309" t="str">
        <x:v>S13</x:v>
      </x:c>
      <x:c r="B18" s="310" t="str">
        <x:v>Semantic Sensor Network Ontology</x:v>
      </x:c>
      <x:c r="C18" s="310" t="str">
        <x:v>Absent from authoritative current baseline</x:v>
      </x:c>
      <x:c r="D18" s="310" t="str">
        <x:v>Not listed</x:v>
      </x:c>
      <x:c r="E18" s="310" t="str">
        <x:v>Not listed</x:v>
      </x:c>
      <x:c r="F18" s="310" t="str">
        <x:v>S25: authoritative current baseline; exact source identity/edition and whole-export checks</x:v>
      </x:c>
      <x:c r="G18" s="310" t="str">
        <x:v>The W3C SOSA/SSN ontology is absent from the authoritative current DISR baseline; no separate DoD or IC adoption status is listed. Do not confuse it with The Open Group SOSA record. Assess its OGC dependency/semantic role before considering a separate entry; no automatic addition is recommended. (S25; “StandardsReport” 2026; this study’s assessment.)</x:v>
      </x:c>
      <x:c r="H18" s="310" t="str">
        <x:v>No exact independent adoption demonstrated</x:v>
      </x:c>
      <x:c r="I18" s="310" t="str">
        <x:v>Source-specific narrative + historical NISP context; no current blanket NATO adoption established</x:v>
      </x:c>
      <x:c r="J18" s="310" t="str">
        <x:v>No exact NATO adoption of this artifact is demonstrated by the material inspected for this revision. The public NISP material available here is historical or draft, so this is an unresolved current-status check, not a finding that NATO excludes it. A NATO adoption of an OGC package would not by itself prove an independent mandate for every ontology artifact associated with it. Use the existing sensor-profile route to resolve the exact reference and intended assertions, and propose a new ontology/profile citation only if the selected interoperability contract genuinely requires it (NATO Standardization Office 2026; North Atlantic Treaty Organization 2023, chap. 5).</x:v>
      </x:c>
      <x:c r="K18" s="310" t="str">
        <x:v>A justified content or partner-exchange need; not an active compliance-test gate.</x:v>
      </x:c>
      <x:c r="L18" s="310" t="str">
        <x:v>https://www.w3.org/TR/2017/REC-vocab-ssn-20171019/</x:v>
      </x:c>
      <x:c r="M18" s="310" t="str">
        <x:v>2026-10-12</x:v>
      </x:c>
      <x:c r="N18" s="310" t="str">
        <x:v>Research recommendation only. Baseline authoritative; implementation and governance decisions remain separate.</x:v>
      </x:c>
    </x:row>
    <x:row r="19" ht="244" hidden="0" customHeight="1">
      <x:c r="A19" s="312" t="str">
        <x:v>S14</x:v>
      </x:c>
      <x:c r="B19" s="313" t="str">
        <x:v>The Unified Code for Units of Measure</x:v>
      </x:c>
      <x:c r="C19" s="313" t="str">
        <x:v>Absent from authoritative current baseline</x:v>
      </x:c>
      <x:c r="D19" s="313" t="str">
        <x:v>Not listed</x:v>
      </x:c>
      <x:c r="E19" s="313" t="str">
        <x:v>Not listed</x:v>
      </x:c>
      <x:c r="F19" s="313" t="str">
        <x:v>S25: authoritative current baseline; exact source identity/edition and whole-export checks</x:v>
      </x:c>
      <x:c r="G19" s="313" t="str">
        <x:v>UCUM as an independent entry is absent from the authoritative current DISR baseline; no separate DoD or IC adoption status is listed. SensorML’s dated UCUM 2.1 reference and the inspected 2.2 edition require reconciliation. Dependency incorporation and independent registry listing are different questions; no automatic addition is recommended. (S25; “StandardsReport” 2026; this study’s assessment.)</x:v>
      </x:c>
      <x:c r="H19" s="313" t="str">
        <x:v>No exact independent adoption demonstrated</x:v>
      </x:c>
      <x:c r="I19" s="313" t="str">
        <x:v>Source-specific narrative + historical NISP context; no current blanket NATO adoption established</x:v>
      </x:c>
      <x:c r="J19" s="313" t="str">
        <x:v>No exact NATO adoption of this artifact is demonstrated by the material inspected for this revision. The public NISP material available here is historical or draft, so this is an unresolved current-status check, not a finding that NATO excludes it. The exact UCUM reference in any applicable AEP or OGC package should be verified before making an edition claim. Recommend that a future NATO content profile explicitly pin its supported unit convention and explain compatibility; request a citation correction or profile update only for an actual mismatch, not a separate STANAG merely to name a dependency (North Atlantic Treaty Organization 2023, chap. 5).</x:v>
      </x:c>
      <x:c r="K19" s="313" t="str">
        <x:v>A justified content or partner-exchange need; not an active compliance-test gate.</x:v>
      </x:c>
      <x:c r="L19" s="313" t="str">
        <x:v>https://ucum.org/ucum</x:v>
      </x:c>
      <x:c r="M19" s="313" t="str">
        <x:v>2026-10-12</x:v>
      </x:c>
      <x:c r="N19" s="313" t="str">
        <x:v>Research recommendation only. Baseline authoritative; implementation and governance decisions remain separate.</x:v>
      </x:c>
    </x:row>
    <x:row r="20" ht="244" hidden="0" customHeight="1">
      <x:c r="A20" s="309" t="str">
        <x:v>S15</x:v>
      </x:c>
      <x:c r="B20" s="310" t="str">
        <x:v>Voltage</x:v>
      </x:c>
      <x:c r="C20" s="310" t="str">
        <x:v>Absent from authoritative current baseline</x:v>
      </x:c>
      <x:c r="D20" s="310" t="str">
        <x:v>Not listed</x:v>
      </x:c>
      <x:c r="E20" s="310" t="str">
        <x:v>Not listed</x:v>
      </x:c>
      <x:c r="F20" s="310" t="str">
        <x:v>S25: authoritative current baseline; exact source identity/edition and whole-export checks</x:v>
      </x:c>
      <x:c r="G20" s="310" t="str">
        <x:v>The inspected QUDT Voltage term is absent from the authoritative current DISR baseline; no separate DoD or IC adoption status is listed. No separate term-level change request is recommended. A future vocabulary dependency would need explicit scope and justified use. (S25; “StandardsReport” 2026; this study’s assessment.)</x:v>
      </x:c>
      <x:c r="H20" s="310" t="str">
        <x:v>No exact adoption demonstrated</x:v>
      </x:c>
      <x:c r="I20" s="310" t="str">
        <x:v>Source-specific narrative + historical NISP context; no current blanket NATO adoption established</x:v>
      </x:c>
      <x:c r="J20" s="310" t="str">
        <x:v>No exact NATO adoption of this artifact is demonstrated by the material inspected for this revision. The public NISP material available here is historical or draft, so this is an unresolved current-status check, not a finding that NATO excludes it. No Alliance adoption action is warranted merely because the term is a plausible label for a MERLIN display. If it becomes necessary for machine recognition across implementations, propose the exact URI/version and binding through the relevant profile owner, with a semantic test distinguishing it from adjacent electrical concepts (North Atlantic Treaty Organization 2023, chap. 5).</x:v>
      </x:c>
      <x:c r="K20" s="310" t="str">
        <x:v>A justified content or partner-exchange need; not an active compliance-test gate.</x:v>
      </x:c>
      <x:c r="L20" s="310" t="str">
        <x:v>https://qudt.org/vocab/quantitykind/Voltage</x:v>
      </x:c>
      <x:c r="M20" s="310" t="str">
        <x:v>2026-10-12</x:v>
      </x:c>
      <x:c r="N20" s="310" t="str">
        <x:v>Research recommendation only. Baseline authoritative; implementation and governance decisions remain separate.</x:v>
      </x:c>
    </x:row>
    <x:row r="21" ht="231" hidden="0" customHeight="1">
      <x:c r="A21" s="312" t="str">
        <x:v>S16</x:v>
      </x:c>
      <x:c r="B21" s="313" t="str">
        <x:v>MIMOSA OSA-EAI</x:v>
      </x:c>
      <x:c r="C21" s="313" t="str">
        <x:v>Present — related exact normative edition; this source is overview</x:v>
      </x:c>
      <x:c r="D21" s="313" t="str">
        <x:v>Mandated (3.2.3a)</x:v>
      </x:c>
      <x:c r="E21" s="313" t="str">
        <x:v>IC-Not Applicable (3.2.3a)</x:v>
      </x:c>
      <x:c r="F21" s="313" t="str">
        <x:v>S25: authoritative current baseline; exact source identity/edition and whole-export checks</x:v>
      </x:c>
      <x:c r="G21" s="313" t="str">
        <x:v>The exact OSA-EAI 3.2.3a edition is listed as Mandated / IC-Not Applicable in the authoritative current DISR baseline. This source entry is an overview, not the full edition; its prose and related OIIE artifacts do not inherit that status as separate items. Recover the applicable normative package and assess native fit before any proposed edition or profile change; no addition is recommended now (S25).</x:v>
      </x:c>
      <x:c r="H21" s="313" t="str">
        <x:v>No exact adoption demonstrated</x:v>
      </x:c>
      <x:c r="I21" s="313" t="str">
        <x:v>Source-specific narrative + historical NISP context; no current blanket NATO adoption established</x:v>
      </x:c>
      <x:c r="J21" s="313" t="str">
        <x:v>No exact NATO adoption of this artifact is demonstrated by the material inspected for this revision. The public NISP material available here is historical or draft, so this is an unresolved current-status check, not a finding that NATO excludes it. U.S. adoption of OSA-EAI does not establish adoption of OIIE scenarios or a NATO asset-lifecycle profile. If a verified lifecycle requirement survives the OGC baseline comparison, ask the appropriate profile owner to consider the exact OSA-EAI edition and exchange subset; until then, recommend no NATO submission (North Atlantic Treaty Organization 2023, chap. 5).</x:v>
      </x:c>
      <x:c r="K21" s="313" t="str">
        <x:v>A justified content or partner-exchange need; not an active compliance-test gate.</x:v>
      </x:c>
      <x:c r="L21" s="313" t="str">
        <x:v>https://www.mimosa.org/mimosa-osa-eai/</x:v>
      </x:c>
      <x:c r="M21" s="313" t="str">
        <x:v>2026-10-12</x:v>
      </x:c>
      <x:c r="N21" s="313" t="str">
        <x:v>Research recommendation only. Baseline authoritative; implementation and governance decisions remain separate.</x:v>
      </x:c>
    </x:row>
    <x:row r="22" ht="257" hidden="0" customHeight="1">
      <x:c r="A22" s="309" t="str">
        <x:v>S17</x:v>
      </x:c>
      <x:c r="B22" s="310" t="str">
        <x:v>MIMOSA OSA-CBM</x:v>
      </x:c>
      <x:c r="C22" s="310" t="str">
        <x:v>Present — related exact normative edition; this source is overview</x:v>
      </x:c>
      <x:c r="D22" s="310" t="str">
        <x:v>Mandated (3.3.1)</x:v>
      </x:c>
      <x:c r="E22" s="310" t="str">
        <x:v>IC-Mandated (3.3.1)</x:v>
      </x:c>
      <x:c r="F22" s="310" t="str">
        <x:v>S25: authoritative current baseline; exact source identity/edition and whole-export checks</x:v>
      </x:c>
      <x:c r="G22" s="310" t="str">
        <x:v>The exact OSA-CBM 3.3.1 edition is listed as Mandated / IC-Mandated in the authoritative current DISR baseline. The inspected overview is not the complete normative package and cannot establish implementation coverage. Recommend no addition request; examine the listed edition against a specific condition-management need before proposing an update (S25).</x:v>
      </x:c>
      <x:c r="H22" s="310" t="str">
        <x:v>No exact adoption demonstrated</x:v>
      </x:c>
      <x:c r="I22" s="310" t="str">
        <x:v>Source-specific narrative + historical NISP context; no current blanket NATO adoption established</x:v>
      </x:c>
      <x:c r="J22" s="310" t="str">
        <x:v>No exact NATO adoption of this artifact is demonstrated by the material inspected for this revision. The public NISP material available here is historical or draft, so this is an unresolved current-status check, not a finding that NATO excludes it. NATO applicability must be established for the condition-monitoring or maintenance use case, not inferred from a generic Status tab. Recommend no current submission; a future profile action should identify the chosen condition-processing stage, exact interface edition, available source evidence, and what remains outside MERLIN’s scope (North Atlantic Treaty Organization 2023, chap. 5). OPERATIONAL AND LIFECYCLE MODELS</x:v>
      </x:c>
      <x:c r="K22" s="310" t="str">
        <x:v>A justified content or partner-exchange need; not an active compliance-test gate.</x:v>
      </x:c>
      <x:c r="L22" s="310" t="str">
        <x:v>https://www.mimosa.org/mimosa-osa-cbm/</x:v>
      </x:c>
      <x:c r="M22" s="310" t="str">
        <x:v>2026-10-12</x:v>
      </x:c>
      <x:c r="N22" s="310" t="str">
        <x:v>Research recommendation only. Baseline authoritative; implementation and governance decisions remain separate.</x:v>
      </x:c>
    </x:row>
    <x:row r="23" ht="244" hidden="0" customHeight="1">
      <x:c r="A23" s="312" t="str">
        <x:v>S18</x:v>
      </x:c>
      <x:c r="B23" s="313" t="str">
        <x:v>OIIE Scenario 11 – Publish Asset Removal/Installation Events from MMS to O&amp;M</x:v>
      </x:c>
      <x:c r="C23" s="313" t="str">
        <x:v>No independent implementation item selected from this source</x:v>
      </x:c>
      <x:c r="D23" s="313" t="str">
        <x:v>Related OSA-EAI 3.2.3a: Mandated</x:v>
      </x:c>
      <x:c r="E23" s="313" t="str">
        <x:v>Related OSA-EAI 3.2.3a: IC-Not Applicable</x:v>
      </x:c>
      <x:c r="F23" s="313" t="str">
        <x:v>S25: authoritative current baseline; exact source identity/edition and whole-export checks</x:v>
      </x:c>
      <x:c r="G23" s="313" t="str">
        <x:v>The inspected OIIE scenario is not itself the listed OSA-EAI 3.2.3a implementation standard. The latter is Mandated / IC-Not Applicable, but that status cannot be transferred to a scenario webpage as a separate conformance contract. Recommend no scenario-level request; identify the actual versioned exchange package if a native implementation is proposed (S25).</x:v>
      </x:c>
      <x:c r="H23" s="313" t="str">
        <x:v>No exact adoption demonstrated</x:v>
      </x:c>
      <x:c r="I23" s="313" t="str">
        <x:v>Source-specific narrative + historical NISP context; no current blanket NATO adoption established</x:v>
      </x:c>
      <x:c r="J23" s="313" t="str">
        <x:v>No exact NATO adoption of this artifact is demonstrated by the material inspected for this revision. The public NISP material available here is historical or draft, so this is an unresolved current-status check, not a finding that NATO excludes it. The appropriate NATO question is whether an emplacement/installation exchange needs a common contract, not whether the maintenance illustration should become a NATO standard. Defer submission until that requirement is evidenced, then coordinate a scoped profile with explicit event and actor semantics and avoid relabeling the scenario as doctrine (North Atlantic Treaty Organization 2023, chap. 5).</x:v>
      </x:c>
      <x:c r="K23" s="313" t="str">
        <x:v>A justified content or partner-exchange need; not an active compliance-test gate.</x:v>
      </x:c>
      <x:c r="L23" s="313" t="str">
        <x:v>https://www.mimosa.org/open-industrial-interoperability-ecosystem-oiie/oiie-use-cases/oiie-scenario-11-publish-asset-removalinstallation-events-from-mms-to-om/</x:v>
      </x:c>
      <x:c r="M23" s="313" t="str">
        <x:v>2026-10-12</x:v>
      </x:c>
      <x:c r="N23" s="313" t="str">
        <x:v>Research recommendation only. Baseline authoritative; implementation and governance decisions remain separate.</x:v>
      </x:c>
    </x:row>
    <x:row r="24" ht="205" hidden="0" customHeight="1">
      <x:c r="A24" s="309" t="str">
        <x:v>S19</x:v>
      </x:c>
      <x:c r="B24" s="310" t="str">
        <x:v>MIP Information Model 4.0 – Semantic Interoperability in Multinational Missions</x:v>
      </x:c>
      <x:c r="C24" s="310" t="str">
        <x:v>No independent implementation item selected from this source</x:v>
      </x:c>
      <x:c r="D24" s="310" t="str">
        <x:v>JC3IEDM 5525 Ed.1: Mandated</x:v>
      </x:c>
      <x:c r="E24" s="310" t="str">
        <x:v>JC3IEDM 5525 Ed.1: IC-Mandated</x:v>
      </x:c>
      <x:c r="F24" s="310" t="str">
        <x:v>S25: authoritative current baseline; exact source identity/edition and whole-export checks</x:v>
      </x:c>
      <x:c r="G24" s="310" t="str">
        <x:v>The baseline lists STANAG 5525 Edition 1 / JC3IEDM as Mandated / IC-Mandated, not this research paper as an implementation standard. That record does not establish adoption of MIM 4.0 or make the paper its normative implementation contract. Recommend no paper-level request and select an authoritative technical release before any model-adoption proposal (S25).</x:v>
      </x:c>
      <x:c r="H24" s="310" t="str">
        <x:v>Historical5525 profile evidence; MIM4 status unresolved</x:v>
      </x:c>
      <x:c r="I24" s="310" t="str">
        <x:v>Archived NISP 15/2023; public JC3IEDM record; current implementation not established</x:v>
      </x:c>
      <x:c r="J24" s="310" t="str">
        <x:v>The public NISP JC3IEDM record identifies STANAG 5525 Edition 1, describes its land-operational C2 focus in a joint environment, and links it to several service profiles; its displayed update is April 2024 (“Joint C3 Information Exchange Data Model” n.d.). That is useful relationship evidence, not current adoption of the paper’s MIM version. Verify the relevant MIP release and NATO exchange requirement, then coordinate a model/profile update only for a demonstrated gap, keeping JC3IEDM, MIM, and MIP exchange specifications distinct.</x:v>
      </x:c>
      <x:c r="K24" s="310" t="str">
        <x:v>A justified content or partner-exchange need; not an active compliance-test gate.</x:v>
      </x:c>
      <x:c r="L24" s="310" t="str">
        <x:v>https://dodccrp-testorg.squarespace.com/s/paper_51.pdf</x:v>
      </x:c>
      <x:c r="M24" s="310" t="str">
        <x:v>2026-10-12</x:v>
      </x:c>
      <x:c r="N24" s="310" t="str">
        <x:v>Research recommendation only. Baseline authoritative; implementation and governance decisions remain separate.</x:v>
      </x:c>
    </x:row>
    <x:row r="25" ht="166" hidden="0" customHeight="1">
      <x:c r="A25" s="312" t="str">
        <x:v>S20</x:v>
      </x:c>
      <x:c r="B25" s="313" t="str">
        <x:v>Semantically Enhancing SensorML with Controlled Vocabularies in the Marine Domain</x:v>
      </x:c>
      <x:c r="C25" s="313" t="str">
        <x:v>No independent implementation item selected from this source</x:v>
      </x:c>
      <x:c r="D25" s="313" t="str">
        <x:v>Not applicable to this evidence artifact</x:v>
      </x:c>
      <x:c r="E25" s="313" t="str">
        <x:v>Not applicable to this evidence artifact</x:v>
      </x:c>
      <x:c r="F25" s="313" t="str">
        <x:v>S25: authoritative current baseline; exact source identity/edition and whole-export checks</x:v>
      </x:c>
      <x:c r="G25" s="313" t="str">
        <x:v>This research paper is not proposed as a DISR implementation standard. Its role is historical evidence and it does not inherit a SensorML edition’s adoption status. Recommend no request to add the paper; any selected normative community profile would require its own exact artifact and applicability assessment (S25; Kokkinaki et al. 2016).</x:v>
      </x:c>
      <x:c r="H25" s="313" t="str">
        <x:v>No independent adoption demonstrated</x:v>
      </x:c>
      <x:c r="I25" s="313" t="str">
        <x:v>Source-specific narrative + historical NISP context; no current blanket NATO adoption established</x:v>
      </x:c>
      <x:c r="J25" s="313" t="str">
        <x:v>No independent NATO adoption is established for this paper, and none is needed simply to use it as research evidence. Its relevance is methodological rather than an Alliance implementation obligation. Recommend no NATO request for the publication itself; any future submission should be the resulting domain agreement with its own requirement, audience, tests, and ownership (North Atlantic Treaty Organization 2023, appendix A and chap. 5).</x:v>
      </x:c>
      <x:c r="K25" s="313" t="str">
        <x:v>A justified content or partner-exchange need; not an active compliance-test gate.</x:v>
      </x:c>
      <x:c r="L25" s="313" t="str">
        <x:v>https://ceur-ws.org/Vol-1762/Kokkinaki.pdf</x:v>
      </x:c>
      <x:c r="M25" s="313" t="str">
        <x:v>2026-10-12</x:v>
      </x:c>
      <x:c r="N25" s="313" t="str">
        <x:v>Research recommendation only. Baseline authoritative; implementation and governance decisions remain separate.</x:v>
      </x:c>
    </x:row>
    <x:row r="26" ht="153" hidden="0" customHeight="1">
      <x:c r="A26" s="309" t="str">
        <x:v>S21</x:v>
      </x:c>
      <x:c r="B26" s="310" t="str">
        <x:v>Marine Profiles of the OGC Sensor Web Enablement Standards</x:v>
      </x:c>
      <x:c r="C26" s="310" t="str">
        <x:v>Absent from authoritative current baseline</x:v>
      </x:c>
      <x:c r="D26" s="310" t="str">
        <x:v>Not listed</x:v>
      </x:c>
      <x:c r="E26" s="310" t="str">
        <x:v>Not listed</x:v>
      </x:c>
      <x:c r="F26" s="310" t="str">
        <x:v>S25: authoritative current baseline; exact source identity/edition and whole-export checks</x:v>
      </x:c>
      <x:c r="G26" s="310" t="str">
        <x:v>The marine SWE profile documentation is absent from the authoritative current DISR baseline; no separate DoD or IC adoption status is listed. No request is recommended for this historical methodological comparator. A current, applicable profile would be a separate selection. (S25; “StandardsReport” 2026; this study’s assessment.)</x:v>
      </x:c>
      <x:c r="H26" s="310" t="str">
        <x:v>No exact adoption demonstrated</x:v>
      </x:c>
      <x:c r="I26" s="310" t="str">
        <x:v>Source-specific narrative + historical NISP context; no current blanket NATO adoption established</x:v>
      </x:c>
      <x:c r="J26" s="310" t="str">
        <x:v>No NATO adoption of this exact marine proposal is established. The intended marine audience and historical encoding do not directly match our JISR content problem. Recommend no NATO submission for it; reuse the disciplined profiling approach where relevant and govern any resulting cross-domain profile on its own merits (North Atlantic Treaty Organization 2023, appendix A and chap. 5).</x:v>
      </x:c>
      <x:c r="K26" s="310" t="str">
        <x:v>A justified content or partner-exchange need; not an active compliance-test gate.</x:v>
      </x:c>
      <x:c r="L26" s="310" t="str">
        <x:v>https://odip.github.io/MarineProfilesForSWE/</x:v>
      </x:c>
      <x:c r="M26" s="310" t="str">
        <x:v>2026-10-12</x:v>
      </x:c>
      <x:c r="N26" s="310" t="str">
        <x:v>Research recommendation only. Baseline authoritative; implementation and governance decisions remain separate.</x:v>
      </x:c>
    </x:row>
    <x:row r="27" ht="166" hidden="0" customHeight="1">
      <x:c r="A27" s="312" t="str">
        <x:v>S22</x:v>
      </x:c>
      <x:c r="B27" s="313" t="str">
        <x:v>The Profiles Vocabulary</x:v>
      </x:c>
      <x:c r="C27" s="313" t="str">
        <x:v>Absent from authoritative current baseline</x:v>
      </x:c>
      <x:c r="D27" s="313" t="str">
        <x:v>Not listed</x:v>
      </x:c>
      <x:c r="E27" s="313" t="str">
        <x:v>Not listed</x:v>
      </x:c>
      <x:c r="F27" s="313" t="str">
        <x:v>S25: authoritative current baseline; exact source identity/edition and whole-export checks</x:v>
      </x:c>
      <x:c r="G27" s="313" t="str">
        <x:v>The Profiles Vocabulary is absent from the authoritative current DISR baseline; no separate DoD or IC adoption status is listed. No request is recommended for documentary guidance that has not been selected as an implementation dependency. (S25; “StandardsReport” 2026; this study’s assessment.)</x:v>
      </x:c>
      <x:c r="H27" s="313" t="str">
        <x:v>No exact adoption demonstrated</x:v>
      </x:c>
      <x:c r="I27" s="313" t="str">
        <x:v>Source-specific narrative + historical NISP context; no current blanket NATO adoption established</x:v>
      </x:c>
      <x:c r="J27" s="313" t="str">
        <x:v>No exact NATO adoption is established for PROF. NATO’s own published profile guidance already supplies a community process that must not be replaced by an RDF vocabulary. Recommend no current RFC for the Note; assess it as optional profile-documentation tooling only if it improves recoverability and interoperable metadata beyond the applicable NATO requirements (North Atlantic Treaty Organization 2023, appendix A).</x:v>
      </x:c>
      <x:c r="K27" s="313" t="str">
        <x:v>A justified content or partner-exchange need; not an active compliance-test gate.</x:v>
      </x:c>
      <x:c r="L27" s="313" t="str">
        <x:v>https://www.w3.org/TR/2019/NOTE-dx-prof-20191218/</x:v>
      </x:c>
      <x:c r="M27" s="313" t="str">
        <x:v>2026-10-12</x:v>
      </x:c>
      <x:c r="N27" s="313" t="str">
        <x:v>Research recommendation only. Baseline authoritative; implementation and governance decisions remain separate.</x:v>
      </x:c>
    </x:row>
    <x:row r="28" ht="192" hidden="0" customHeight="1">
      <x:c r="A28" s="309" t="str">
        <x:v>S23</x:v>
      </x:c>
      <x:c r="B28" s="310" t="str">
        <x:v>Data Strategy for the Alliance</x:v>
      </x:c>
      <x:c r="C28" s="310" t="str">
        <x:v>No independent implementation item selected from this source</x:v>
      </x:c>
      <x:c r="D28" s="310" t="str">
        <x:v>Not applicable to this evidence artifact</x:v>
      </x:c>
      <x:c r="E28" s="310" t="str">
        <x:v>Not applicable to this evidence artifact</x:v>
      </x:c>
      <x:c r="F28" s="310" t="str">
        <x:v>S25: authoritative current baseline; exact source identity/edition and whole-export checks</x:v>
      </x:c>
      <x:c r="G28" s="310" t="str">
        <x:v>This NATO policy document is used as policy evidence, not as an independently selected technical standard for DISR implementation. Its strategic relevance does not confer DoD or IC adoption on any candidate model. Recommend no change request for this research use; technical selections are assessed against their exact baseline records (S25).</x:v>
      </x:c>
      <x:c r="H28" s="310" t="str">
        <x:v>Official NATO policy; not implementation profile</x:v>
      </x:c>
      <x:c r="I28" s="310" t="str">
        <x:v>Source-specific narrative + historical NISP context; no current blanket NATO adoption established</x:v>
      </x:c>
      <x:c r="J28" s="310" t="str">
        <x:v>The source is an official NATO policy publication dated May 5, 2025, not a STANAG ratification record or an implementation profile. It supplies strategic relevance but no automatic obligation to adopt SAREF, AAS, MIMOSA, or another candidate. Recommend no NATO adoption request for the strategy itself; make future profile proposals traceable to the operational information requirement and the applicable governance route (North Atlantic Treaty Organization 2025; 2023, chap. 5).</x:v>
      </x:c>
      <x:c r="K28" s="310" t="str">
        <x:v>A justified content or partner-exchange need; not an active compliance-test gate.</x:v>
      </x:c>
      <x:c r="L28" s="310" t="str">
        <x:v>https://www.nato.int/en/about-us/official-texts-and-resources/official-texts/2025/05/05/data-strategy-for-the-alliance</x:v>
      </x:c>
      <x:c r="M28" s="310" t="str">
        <x:v>2026-10-12</x:v>
      </x:c>
      <x:c r="N28" s="310" t="str">
        <x:v>Research recommendation only. Baseline authoritative; implementation and governance decisions remain separate.</x:v>
      </x:c>
    </x:row>
    <x:row r="29" ht="192" hidden="0" customHeight="1">
      <x:c r="A29" s="312" t="str">
        <x:v>S24</x:v>
      </x:c>
      <x:c r="B29" s="313" t="str">
        <x:v>NATO Core Data Framework (NCDF): ADatP-5653 (Study), Edition A, Version 1</x:v>
      </x:c>
      <x:c r="C29" s="313" t="str">
        <x:v>Absent from authoritative current baseline</x:v>
      </x:c>
      <x:c r="D29" s="313" t="str">
        <x:v>Not listed</x:v>
      </x:c>
      <x:c r="E29" s="313" t="str">
        <x:v>Not listed</x:v>
      </x:c>
      <x:c r="F29" s="313" t="str">
        <x:v>S25: authoritative current baseline; exact source identity/edition and whole-export checks</x:v>
      </x:c>
      <x:c r="G29" s="313" t="str">
        <x:v>The inspected NCDF / ADatP-5653 reference is absent from the authoritative current DISR baseline; no separate DoD or IC adoption status is listed. Do not propose an entry from a historical catalog label without selecting the actual normative publication. (S25; “StandardsReport” 2026; this study’s assessment.)</x:v>
      </x:c>
      <x:c r="H29" s="313" t="str">
        <x:v>Historical Study; current status unresolved</x:v>
      </x:c>
      <x:c r="I29" s="313" t="str">
        <x:v>Archived public NCDF study record; current promulgation not verified</x:v>
      </x:c>
      <x:c r="J29" s="313" t="str">
        <x:v>The inspected NISP record says ADatP-5653 (Study), Edition A, Version 1, with a related study STANAG and a page updated April 12, 2024 (“NATO Core Data Framework” n.d.). That proves a historical catalog relationship, not a promulgated 2026 framework or a mandate for our proposed use. Request current catalog/publication verification from the responsible community first; propose an identifier or profile correction only if the authoritative record actually demonstrates an error or gap.</x:v>
      </x:c>
      <x:c r="K29" s="313" t="str">
        <x:v>A justified content or partner-exchange need; not an active compliance-test gate.</x:v>
      </x:c>
      <x:c r="L29" s="313" t="str">
        <x:v>https://nisp.nw3.dk/standard/nato-adatp5653-ed.a-v1.html</x:v>
      </x:c>
      <x:c r="M29" s="313" t="str">
        <x:v>2026-10-12</x:v>
      </x:c>
      <x:c r="N29" s="313" t="str">
        <x:v>Research recommendation only. Baseline authoritative; implementation and governance decisions remain separate.</x:v>
      </x:c>
    </x:row>
    <x:row r="30" ht="192" hidden="0" customHeight="1">
      <x:c r="A30" s="309" t="str">
        <x:v>S25</x:v>
      </x:c>
      <x:c r="B30" s="310" t="str">
        <x:v>StandardsReport_20261010T134742.352 GMT.xlsx(1).csv</x:v>
      </x:c>
      <x:c r="C30" s="310" t="str">
        <x:v>Authoritative baseline evidence; not an implementation item</x:v>
      </x:c>
      <x:c r="D30" s="310" t="str">
        <x:v>Not applicable to export itself</x:v>
      </x:c>
      <x:c r="E30" s="310" t="str">
        <x:v>Not applicable to export itself</x:v>
      </x:c>
      <x:c r="F30" s="310" t="str">
        <x:v>S25: authoritative current baseline; exact source identity/edition and whole-export checks</x:v>
      </x:c>
      <x:c r="G30" s="310" t="str">
        <x:v>This export is the authoritative, complete current DISR baseline for the investigation, not an adoption candidate within itself. Preserve each exact identifier, edition, DoD status and IC status, and distinguish baseline standing from technical suitability. Recommend no request for the export; use it to justify specific future actions only when a real implementation need warrants them (Bolling 2026).</x:v>
      </x:c>
      <x:c r="H30" s="310" t="str">
        <x:v>Not a NATO registry</x:v>
      </x:c>
      <x:c r="I30" s="310" t="str">
        <x:v>Source-specific narrative + historical NISP context; no current blanket NATO adoption established</x:v>
      </x:c>
      <x:c r="J30" s="310" t="str">
        <x:v>The export is not a NATO adoption registry and cannot establish NATO mandate, ratification, or national implementation. A STANAG entry in DISR records U.S. adoption status, which still requires its own NATO publication and profile evidence. Recommend no NATO request for the export; keep parallel status records and reconcile the exact technical editions without assuming the two systems automatically mirror one another (NATO Standardization Office 2026; North Atlantic Treaty Organization 2023, chap. 5).</x:v>
      </x:c>
      <x:c r="K30" s="310" t="str">
        <x:v>A justified content or partner-exchange need; not an active compliance-test gate.</x:v>
      </x:c>
      <x:c r="L30" s="310" t="str">
        <x:v>Project source L7; no public URL</x:v>
      </x:c>
      <x:c r="M30" s="310" t="str">
        <x:v>2026-10-12</x:v>
      </x:c>
      <x:c r="N30" s="310" t="str">
        <x:v>Research recommendation only. Baseline authoritative; implementation and governance decisions remain separate.</x:v>
      </x:c>
    </x:row>
    <x:row r="31" ht="166" hidden="0" customHeight="1">
      <x:c r="A31" s="312" t="str">
        <x:v>S26</x:v>
      </x:c>
      <x:c r="B31" s="313" t="str">
        <x:v>Multilateral Interoperability Programme</x:v>
      </x:c>
      <x:c r="C31" s="313" t="str">
        <x:v>No independent implementation item selected from this source</x:v>
      </x:c>
      <x:c r="D31" s="313" t="str">
        <x:v>Not applicable to this evidence artifact</x:v>
      </x:c>
      <x:c r="E31" s="313" t="str">
        <x:v>Not applicable to this evidence artifact</x:v>
      </x:c>
      <x:c r="F31" s="313" t="str">
        <x:v>S25: authoritative current baseline; exact source identity/edition and whole-export checks</x:v>
      </x:c>
      <x:c r="G31" s="313" t="str">
        <x:v>The vendor webpage is not an independently selected technical standard. It cannot establish a model’s DoD or IC status or a product’s conformity from marketing context alone. Recommend no request for the page; consult exact baseline records for any actual standard being considered (S25).</x:v>
      </x:c>
      <x:c r="H31" s="313" t="str">
        <x:v>No independent adoption/conformance established</x:v>
      </x:c>
      <x:c r="I31" s="313" t="str">
        <x:v>Archived NISP 15/2023; public JC3IEDM record; current implementation not established</x:v>
      </x:c>
      <x:c r="J31" s="313" t="str">
        <x:v>No independent NATO adoption applies on the evidence inspected to this page or any implied product-conformance claim. The historical NISP references to JC3IEDM describe standards and profile relationships, not certification of the vendor’s software. Recommend no NATO request for the page; any future interoperability case must identify the actual implemented specification and test results (“Joint C3 Information Exchange Data Model” n.d.).</x:v>
      </x:c>
      <x:c r="K31" s="313" t="str">
        <x:v>A justified content or partner-exchange need; not an active compliance-test gate.</x:v>
      </x:c>
      <x:c r="L31" s="313" t="str">
        <x:v>https://systematic.com/int/industries/defence/products/domains/interoperability/mip/</x:v>
      </x:c>
      <x:c r="M31" s="313" t="str">
        <x:v>2026-10-12</x:v>
      </x:c>
      <x:c r="N31" s="313" t="str">
        <x:v>Research recommendation only. Baseline authoritative; implementation and governance decisions remain separate.</x:v>
      </x:c>
    </x:row>
    <x:row r="32" ht="153" hidden="0" customHeight="1">
      <x:c r="A32" s="309" t="str">
        <x:v>S27</x:v>
      </x:c>
      <x:c r="B32" s="310" t="str">
        <x:v>Welcome to MIM World!</x:v>
      </x:c>
      <x:c r="C32" s="310" t="str">
        <x:v>No independent implementation item selected from this source</x:v>
      </x:c>
      <x:c r="D32" s="310" t="str">
        <x:v>JC3IEDM 5525 Ed.1: Mandated</x:v>
      </x:c>
      <x:c r="E32" s="310" t="str">
        <x:v>JC3IEDM 5525 Ed.1: IC-Mandated</x:v>
      </x:c>
      <x:c r="F32" s="310" t="str">
        <x:v>S25: authoritative current baseline; exact source identity/edition and whole-export checks</x:v>
      </x:c>
      <x:c r="G32" s="310" t="str">
        <x:v>The official MIM portal is a retrieval source, not the model release proposed for implementation. The authoritative baseline includes the separate STANAG 5525 / JC3IEDM record, which cannot be transferred to an uninspected MIM release. Recommend no portal-level request; recover the exact normative package before deciding on any model action (S25).</x:v>
      </x:c>
      <x:c r="H32" s="310" t="str">
        <x:v>Exact model adoption unresolved</x:v>
      </x:c>
      <x:c r="I32" s="310" t="str">
        <x:v>Archived NISP 15/2023; public JC3IEDM record; current implementation not established</x:v>
      </x:c>
      <x:c r="J32" s="310" t="str">
        <x:v>No current NATO adoption of a specific MIM release was established by viewing the portal. The historical NISP JC3IEDM record identifies a different, explicit standard and several service-profile uses. Recommend authoritative release and applicability recovery before a NATO model/profile action, and no request to adopt the landing page itself (“Joint C3 Information Exchange Data Model” n.d.).</x:v>
      </x:c>
      <x:c r="K32" s="310" t="str">
        <x:v>A justified content or partner-exchange need; not an active compliance-test gate.</x:v>
      </x:c>
      <x:c r="L32" s="310" t="str">
        <x:v>https://www.mimworld.org/portal/projects/welcome/wiki/Welcome</x:v>
      </x:c>
      <x:c r="M32" s="310" t="str">
        <x:v>2026-10-12</x:v>
      </x:c>
      <x:c r="N32" s="310" t="str">
        <x:v>Research recommendation only. Baseline authoritative; implementation and governance decisions remain separate.</x:v>
      </x:c>
    </x:row>
    <x:row r="33" ht="166" hidden="0" customHeight="1">
      <x:c r="A33" s="312" t="str">
        <x:v>S28</x:v>
      </x:c>
      <x:c r="B33" s="313" t="str">
        <x:v>The Specification Model—A Standard for Modular Specifications</x:v>
      </x:c>
      <x:c r="C33" s="313" t="str">
        <x:v>Absent from authoritative current baseline</x:v>
      </x:c>
      <x:c r="D33" s="313" t="str">
        <x:v>Not listed</x:v>
      </x:c>
      <x:c r="E33" s="313" t="str">
        <x:v>Not listed</x:v>
      </x:c>
      <x:c r="F33" s="313" t="str">
        <x:v>S25: authoritative current baseline; exact source identity/edition and whole-export checks</x:v>
      </x:c>
      <x:c r="G33" s="313" t="str">
        <x:v>OGC 08-131r3 (ModSpec) is absent from the authoritative current DISR baseline; no separate DoD or IC adoption status is listed. No addition is recommended solely for this specification-authoring role. A future profile must still satisfy its applicable OGC authoring obligations. (S25; “StandardsReport” 2026; this study’s assessment.)</x:v>
      </x:c>
      <x:c r="H33" s="313" t="str">
        <x:v>No exact independent adoption demonstrated</x:v>
      </x:c>
      <x:c r="I33" s="313" t="str">
        <x:v>Source-specific narrative + historical NISP context; no current blanket NATO adoption established</x:v>
      </x:c>
      <x:c r="J33" s="313" t="str">
        <x:v>No independent NATO adoption of this exact OGC policy standard is established. Its technical relevance follows from SensorML’s conformance reference, while NATO’s own profile and approval rules remain distinct. Recommend no separate NATO adoption request now; identify the methodological dependency in any proposed OGC/NATO profile and reconcile it with the applicable NISP guidance (North Atlantic Treaty Organization 2023, appendix A).</x:v>
      </x:c>
      <x:c r="K33" s="313" t="str">
        <x:v>A justified content or partner-exchange need; not an active compliance-test gate.</x:v>
      </x:c>
      <x:c r="L33" s="313" t="str">
        <x:v>https://docs.ogc.org/pol/08-131r3/08-131r3.pdf</x:v>
      </x:c>
      <x:c r="M33" s="313" t="str">
        <x:v>2026-10-12</x:v>
      </x:c>
      <x:c r="N33" s="313" t="str">
        <x:v>Research recommendation only. Baseline authoritative; implementation and governance decisions remain separate.</x:v>
      </x:c>
    </x:row>
    <x:row r="34" ht="140" hidden="0" customHeight="1">
      <x:c r="A34" s="309" t="str">
        <x:v>S29</x:v>
      </x:c>
      <x:c r="B34" s="310" t="str">
        <x:v>DoD Information Technology Standards Registry (DISR)</x:v>
      </x:c>
      <x:c r="C34" s="310" t="str">
        <x:v>No independent implementation item selected from this source</x:v>
      </x:c>
      <x:c r="D34" s="310" t="str">
        <x:v>Not applicable to this evidence artifact</x:v>
      </x:c>
      <x:c r="E34" s="310" t="str">
        <x:v>Not applicable to this evidence artifact</x:v>
      </x:c>
      <x:c r="F34" s="310" t="str">
        <x:v>S25: authoritative current baseline; exact source identity/edition and whole-export checks</x:v>
      </x:c>
      <x:c r="G34" s="310" t="str">
        <x:v>The DLA webpage is explanatory guidance about DISR, not the technical standard selected for implementation. It does not supersede the supplied authoritative baseline or create adoption status for an absent candidate. Recommend no request for the webpage; use the applicable procedure for an exact justified standards action (S25).</x:v>
      </x:c>
      <x:c r="H34" s="310" t="str">
        <x:v>Not NATO adoption evidence</x:v>
      </x:c>
      <x:c r="I34" s="310" t="str">
        <x:v>Source-specific narrative + historical NISP context; no current blanket NATO adoption established</x:v>
      </x:c>
      <x:c r="J34" s="310" t="str">
        <x:v>This is U.S. guidance and supplies no NATO adoption or national ratification evidence. Its categories should not be mechanically mapped to NISP agreed/candidate or STANAG draft/promulgated states. Recommend no NATO request for the page; maintain the separate evidence systems and compare exact technical obligations instead (North Atlantic Treaty Organization 2023).</x:v>
      </x:c>
      <x:c r="K34" s="310" t="str">
        <x:v>A justified content or partner-exchange need; not an active compliance-test gate.</x:v>
      </x:c>
      <x:c r="L34" s="310" t="str">
        <x:v>https://www.dsp.dla.mil/specs-standards/list-of-disr-documents/</x:v>
      </x:c>
      <x:c r="M34" s="310" t="str">
        <x:v>2026-10-12</x:v>
      </x:c>
      <x:c r="N34" s="310" t="str">
        <x:v>Research recommendation only. Baseline authoritative; implementation and governance decisions remain separate.</x:v>
      </x:c>
    </x:row>
    <x:row r="35" ht="127" hidden="0" customHeight="1">
      <x:c r="A35" s="312" t="str">
        <x:v>S30</x:v>
      </x:c>
      <x:c r="B35" s="313" t="str">
        <x:v>Information Technology Standards in the DoD</x:v>
      </x:c>
      <x:c r="C35" s="313" t="str">
        <x:v>No independent implementation item selected from this source</x:v>
      </x:c>
      <x:c r="D35" s="313" t="str">
        <x:v>Not applicable to this evidence artifact</x:v>
      </x:c>
      <x:c r="E35" s="313" t="str">
        <x:v>Not applicable to this evidence artifact</x:v>
      </x:c>
      <x:c r="F35" s="313" t="str">
        <x:v>S25: authoritative current baseline; exact source identity/edition and whole-export checks</x:v>
      </x:c>
      <x:c r="G35" s="313" t="str">
        <x:v>This instruction is a policy source, not a sensor-model implementation candidate in this assessment. Its procedural role should not be confused with a technical standard’s DoD/IC baseline status. Recommend no request for the policy document; obtain the applicable procedural text only for a concrete proposed standards action, without reopening the established baseline (S25).</x:v>
      </x:c>
      <x:c r="H35" s="313" t="str">
        <x:v>Not NATO adoption evidence</x:v>
      </x:c>
      <x:c r="I35" s="313" t="str">
        <x:v>Source-specific narrative + historical NISP context; no current blanket NATO adoption established</x:v>
      </x:c>
      <x:c r="J35" s="313" t="str">
        <x:v>A U.S. instruction does not establish NATO adoption, ratification, or coalition conformance. It can affect the U.S. side of implementing an Alliance agreement while leaving the NATO decision separate. Recommend no NATO adoption request for the instruction; verify both obligations for any chosen technical profile.</x:v>
      </x:c>
      <x:c r="K35" s="313" t="str">
        <x:v>A justified content or partner-exchange need; not an active compliance-test gate.</x:v>
      </x:c>
      <x:c r="L35" s="313" t="str">
        <x:v>https://www.esd.whs.mil/portals/54/documents/dd/issuances/dodi/831001p.pdf</x:v>
      </x:c>
      <x:c r="M35" s="313" t="str">
        <x:v>2026-10-12</x:v>
      </x:c>
      <x:c r="N35" s="313" t="str">
        <x:v>Research recommendation only. Baseline authoritative; implementation and governance decisions remain separate.</x:v>
      </x:c>
    </x:row>
    <x:row r="36" ht="179" hidden="0" customHeight="1">
      <x:c r="A36" s="309" t="str">
        <x:v>S31</x:v>
      </x:c>
      <x:c r="B36" s="310" t="str">
        <x:v>NATO Interoperability Standards and Profiles. Volume 1: Introduction and Management</x:v>
      </x:c>
      <x:c r="C36" s="310" t="str">
        <x:v>No independent implementation item selected from this source</x:v>
      </x:c>
      <x:c r="D36" s="310" t="str">
        <x:v>Not applicable to this evidence artifact</x:v>
      </x:c>
      <x:c r="E36" s="310" t="str">
        <x:v>Not applicable to this evidence artifact</x:v>
      </x:c>
      <x:c r="F36" s="310" t="str">
        <x:v>S25: authoritative current baseline; exact source identity/edition and whole-export checks</x:v>
      </x:c>
      <x:c r="G36" s="310" t="str">
        <x:v>The inspected NISP edition is a NATO governance/method source, not a technical implementation item selected for DISR. Its references do not automatically add the referenced standards to the U.S. baseline. Recommend no request for this methodological use; assess actual technical candidates against their exact DISR records (S25).</x:v>
      </x:c>
      <x:c r="H36" s="310" t="str">
        <x:v>Verified historical NISP15/2023</x:v>
      </x:c>
      <x:c r="I36" s="310" t="str">
        <x:v>Source-specific narrative + historical NISP context; no current blanket NATO adoption established</x:v>
      </x:c>
      <x:c r="J36" s="310" t="str">
        <x:v>NISP 15/2023 is the identified historical publication, not a verified 2026 baseline. Its published process provides an evidence-backed route for a scoped standards/profile RFC and lists criteria relevant to our future proposal. Recommend confirming the current owner and baseline, then submitting an update only when a selected interoperability requirement, exact artifact, and implementation/test evidence justify it (North Atlantic Treaty Organization 2023, chap. 5).</x:v>
      </x:c>
      <x:c r="K36" s="310" t="str">
        <x:v>A justified content or partner-exchange need; not an active compliance-test gate.</x:v>
      </x:c>
      <x:c r="L36" s="310" t="str">
        <x:v>https://archive.nisp.nw3.dk/nisp-15.0/volume1/ch01.html</x:v>
      </x:c>
      <x:c r="M36" s="310" t="str">
        <x:v>2026-10-12</x:v>
      </x:c>
      <x:c r="N36" s="310" t="str">
        <x:v>Research recommendation only. Baseline authoritative; implementation and governance decisions remain separate.</x:v>
      </x:c>
    </x:row>
    <x:row r="37" ht="179" hidden="0" customHeight="1">
      <x:c r="A37" s="312" t="str">
        <x:v>S32</x:v>
      </x:c>
      <x:c r="B37" s="313" t="str">
        <x:v>STANAG 4789 JCGISR (Edition 1) (Ratification Draft 1)—Sensor Integration Standard for NATO JISR Operations—AEP-4789, Edition A</x:v>
      </x:c>
      <x:c r="C37" s="313" t="str">
        <x:v>Underlying OGC editions present; wrapper not a duplicate selection</x:v>
      </x:c>
      <x:c r="D37" s="313" t="str">
        <x:v>Underlying four: Emerging</x:v>
      </x:c>
      <x:c r="E37" s="313" t="str">
        <x:v>Underlying four: IC-Emerging</x:v>
      </x:c>
      <x:c r="F37" s="313" t="str">
        <x:v>S25: authoritative current baseline; exact source identity/edition and whole-export checks</x:v>
      </x:c>
      <x:c r="G37" s="313" t="str">
        <x:v>The underlying four current OGC editions are already listed as Emerging / IC-Emerging in the authoritative current DISR baseline. This ratification-draft covering package is not being proposed as a duplicate technical implementation item. Recommend no duplicate addition; any future wrapper or profile action must identify a distinct applicable obligation rather than merely repeat the existing OGC records (S25; NATO Standardization Office 2026).</x:v>
      </x:c>
      <x:c r="H37" s="313" t="str">
        <x:v>Verified RD1 circulation; promulgation not established</x:v>
      </x:c>
      <x:c r="I37" s="313" t="str">
        <x:v>NSO letter 28 Aug 2026 + covering agreement; actual AEP Volume II not recovered</x:v>
      </x:c>
      <x:c r="J37" s="313" t="str">
        <x:v>Directly verified: Edition 1, Ratification Draft 1, circulated August 28, 2026, with responses due November 28, 2026. Not verified: promulgation, current national vote totals, universal implementation, or exact current AEPVolume II clauses. Recommend coordination through the existing 4789 route and targeted publication/profile verification; no new parallel STANAG or claim of completed adoption is warranted (NATO Standardization Office 2026).</x:v>
      </x:c>
      <x:c r="K37" s="313" t="str">
        <x:v>A justified content or partner-exchange need; not an active compliance-test gate.</x:v>
      </x:c>
      <x:c r="L37" s="313"/>
      <x:c r="M37" s="313" t="str">
        <x:v>2026-10-12</x:v>
      </x:c>
      <x:c r="N37" s="313" t="str">
        <x:v>Research recommendation only. Baseline authoritative; implementation and governance decisions remain separate.</x:v>
      </x:c>
    </x:row>
    <x:row r="38" ht="192" hidden="0" customHeight="1">
      <x:c r="A38" s="309" t="str">
        <x:v>S33</x:v>
      </x:c>
      <x:c r="B38" s="310" t="str">
        <x:v>OWS-6 SensorML Profile for Discovery</x:v>
      </x:c>
      <x:c r="C38" s="310" t="str">
        <x:v>Absent from authoritative current baseline</x:v>
      </x:c>
      <x:c r="D38" s="310" t="str">
        <x:v>Not listed</x:v>
      </x:c>
      <x:c r="E38" s="310" t="str">
        <x:v>Not listed</x:v>
      </x:c>
      <x:c r="F38" s="310" t="str">
        <x:v>S25; full-export query L11 with SensorML positive controls</x:v>
      </x:c>
      <x:c r="G38" s="310" t="str">
        <x:v>OGC 09-033 is absent from the authoritative current DISR baseline, with no DoD or IC status of its own. Successful whole-export checks covered the identifier, title and SensorML-family records; a DDMS “Application Profile for Discovery” match is a different publication. Recommend no request to add this historical Engineering Report: a future, justified current-OGC profile would be a distinct proposal with its own requirements and governance (“StandardsReport” 2026; this study, Search Log L11).</x:v>
      </x:c>
      <x:c r="H38" s="310" t="str">
        <x:v>No exact adoption demonstrated</x:v>
      </x:c>
      <x:c r="I38" s="310" t="str">
        <x:v>No adoption evidence in inspected NATO materials</x:v>
      </x:c>
      <x:c r="J38" s="310" t="str">
        <x:v>No NATO adoption of this exact report has been established by the inspected material. Recommend using it as historical evidence, not proposing a NATO obligation to implement its legacy profile. Any future coalition-specific current-OGC agreement should be justified against a concrete interoperability need and coordinated through the existing sensor-integration custodial framework; this report supplies no such adoption decision (NATO Standardization Office 2026; this study’s assessment).</x:v>
      </x:c>
      <x:c r="K38" s="310" t="str">
        <x:v>A justified content or partner-exchange need; not an active compliance-test gate.</x:v>
      </x:c>
      <x:c r="L38" s="310" t="str">
        <x:v>https://docs.ogc.org/per/09-033/09-033.pdf</x:v>
      </x:c>
      <x:c r="M38" s="310" t="str">
        <x:v>2026-10-12</x:v>
      </x:c>
      <x:c r="N38" s="310" t="str">
        <x:v>Research recommendation only. Baseline authoritative; implementation and governance decisions remain separate.</x:v>
      </x:c>
    </x:row>
    <x:row r="39" ht="179" hidden="0" customHeight="1">
      <x:c r="A39" s="312" t="str">
        <x:v>S34</x:v>
      </x:c>
      <x:c r="B39" s="313" t="str">
        <x:v>SensorML profile and mapping into a CSW-ebRIM catalogue</x:v>
      </x:c>
      <x:c r="C39" s="313" t="str">
        <x:v>Absent from authoritative current baseline</x:v>
      </x:c>
      <x:c r="D39" s="313" t="str">
        <x:v>Not listed</x:v>
      </x:c>
      <x:c r="E39" s="313" t="str">
        <x:v>Not listed</x:v>
      </x:c>
      <x:c r="F39" s="313" t="str">
        <x:v>S25; full-export query L11 with SensorML positive controls</x:v>
      </x:c>
      <x:c r="G39" s="313" t="str">
        <x:v>OGC 09-163r2 is absent from the authoritative current DISR baseline, with no DoD or IC status of its own. Adoption of a base catalogue or SensorML standard would not automatically list this extension package. Recommend no addition request for the historical paper; it is not the implementation selected by this research, and any future current-OGC profile or bridge would require a distinct technical justification (“StandardsReport” 2026; this study, Search Log L11).</x:v>
      </x:c>
      <x:c r="H39" s="313" t="str">
        <x:v>No exact adoption demonstrated</x:v>
      </x:c>
      <x:c r="I39" s="313" t="str">
        <x:v>No adoption evidence in inspected NATO materials</x:v>
      </x:c>
      <x:c r="J39" s="313" t="str">
        <x:v>No exact NATO adoption of this paper has been demonstrated. Its potential value here is the mapping methodology, not an obligation to deploy CSW-ebRIM. Recommend no standalone NATO submission for the paper; a future specific coalition requirement should be evaluated through the applicable current profile and custodial process, without importing this architecture by implication (North Atlantic Treaty Organization 2023; this study’s assessment).</x:v>
      </x:c>
      <x:c r="K39" s="313" t="str">
        <x:v>A justified content or partner-exchange need; not an active compliance-test gate.</x:v>
      </x:c>
      <x:c r="L39" s="313" t="str">
        <x:v>https://docs.ogc.org/dp/09-163r2/09-163r2.pdf</x:v>
      </x:c>
      <x:c r="M39" s="313" t="str">
        <x:v>2026-10-12</x:v>
      </x:c>
      <x:c r="N39" s="313" t="str">
        <x:v>Research recommendation only. Baseline authoritative; implementation and governance decisions remain separate.</x:v>
      </x:c>
    </x:row>
    <x:row r="40" ht="153" customHeight="1">
      <x:c r="A40" s="309" t="str">
        <x:v>S35</x:v>
      </x:c>
      <x:c r="B40" s="310" t="str">
        <x:v>CCOM UML Class Model</x:v>
      </x:c>
      <x:c r="C40" s="310" t="str">
        <x:v>Absent — exact artifact</x:v>
      </x:c>
      <x:c r="D40" s="310" t="str">
        <x:v>No separate record</x:v>
      </x:c>
      <x:c r="E40" s="310" t="str">
        <x:v>No separate record</x:v>
      </x:c>
      <x:c r="F40" s="310" t="str">
        <x:v>S25 complete DISR export; 12 Oct full-export query: IDTA IDs, AAS/63278, CCOM aliases; MIMOSA rows retained separately.</x:v>
      </x:c>
      <x:c r="G40" s="310" t="str">
        <x:v>CCOM 4.1.0-RC1 has no independent entry in the authoritative DISR baseline. OSA-EAI 3.2.3a is Mandated / IC-Not Applicable, but that does not transfer to this later release candidate. Recommend no RC1 addition: first determine whether the listed edition supplies the selected lifecycle content, and consider an edition or scoped-model proposal only if a material need remains (“StandardsReport” 2026).</x:v>
      </x:c>
      <x:c r="H40" s="310" t="str">
        <x:v>No exact adoption established in inspected NATO evidence</x:v>
      </x:c>
      <x:c r="I40" s="310" t="str">
        <x:v>S32 official 4789 package; no candidate-specific adoption artifact recovered.</x:v>
      </x:c>
      <x:c r="J40" s="310" t="str">
        <x:v>No exact NATO adoption of this RC1 artifact was established in the inspected evidence. Its possible use for emplacement is an analogy requiring military-domain review, not NATO approval inherited from its industrial purpose. Recommend no present submission; a justified event or asset agreement should be coordinated through the appropriate sensor and asset-information communities.</x:v>
      </x:c>
      <x:c r="K40" s="310" t="str">
        <x:v>Source-specific event interpretation, OGC binding, identifiers and edition selection remain ours.</x:v>
      </x:c>
      <x:c r="L40" s="310" t="str">
        <x:v>https://www.mimosa.org/wp-content/uploads/specifications/2019/12/ccom-4-1-0-rc1/CCOM-UML-Class-Model-4.1.0-RC1.pdf</x:v>
      </x:c>
      <x:c r="M40" s="310" t="str">
        <x:v>2026-10-12</x:v>
      </x:c>
      <x:c r="N40" s="310" t="str">
        <x:v>Research recommendation only. Baseline authoritative; implementation and governance decisions remain separate.</x:v>
      </x:c>
    </x:row>
    <x:row r="41" ht="166" customHeight="1">
      <x:c r="A41" s="312" t="str">
        <x:v>S36</x:v>
      </x:c>
      <x:c r="B41" s="313" t="str">
        <x:v>Generic Frame for Technical Data for Industrial Equipment in Manufacturing</x:v>
      </x:c>
      <x:c r="C41" s="313" t="str">
        <x:v>Absent — exact artifact</x:v>
      </x:c>
      <x:c r="D41" s="313" t="str">
        <x:v>No separate record</x:v>
      </x:c>
      <x:c r="E41" s="313" t="str">
        <x:v>No separate record</x:v>
      </x:c>
      <x:c r="F41" s="313" t="str">
        <x:v>S25 complete DISR export; 12 Oct full-export query: IDTA IDs, AAS/63278, CCOM aliases; MIMOSA rows retained separately.</x:v>
      </x:c>
      <x:c r="G41" s="313" t="str">
        <x:v>IDTA 02003 and its inspected template are absent from the authoritative current DISR baseline. There is no separate DoD or IC status to report. Recommend no addition for the present comparison role; reconsider only if a real AAS exchange or a necessary governed content dependency is selected (“StandardsReport” 2026).</x:v>
      </x:c>
      <x:c r="H41" s="313" t="str">
        <x:v>No exact adoption established in inspected NATO evidence</x:v>
      </x:c>
      <x:c r="I41" s="313" t="str">
        <x:v>S32 official 4789 package; no candidate-specific adoption artifact recovered.</x:v>
      </x:c>
      <x:c r="J41" s="313" t="str">
        <x:v>No exact NATO adoption of this template was established by the inspected material. A general industrial technical-data frame does not itself demonstrate a coalition sensor-information requirement. Recommend no present NATO submission; any subsequent proposal should identify the actual interoperable content or AAS partner exchange rather than adopt the frame because its organization is appealing. DEVICE AND EQUIPMENT MODELS</x:v>
      </x:c>
      <x:c r="K41" s="313" t="str">
        <x:v>Domain-specific property selection and meaning are not supplied by the generic frame.</x:v>
      </x:c>
      <x:c r="L41" s="313" t="str">
        <x:v>https://industrialdigitaltwin.org/en/wp-content/uploads/sites/2/2025/03/IDTA-02003_Generic-Frame-for-Technical-Data.pdf</x:v>
      </x:c>
      <x:c r="M41" s="313" t="str">
        <x:v>2026-10-12</x:v>
      </x:c>
      <x:c r="N41" s="313" t="str">
        <x:v>Research recommendation only. Baseline authoritative; implementation and governance decisions remain separate.</x:v>
      </x:c>
    </x:row>
    <x:row r="42" ht="140" customHeight="1">
      <x:c r="A42" s="309" t="str">
        <x:v>S37</x:v>
      </x:c>
      <x:c r="B42" s="310" t="str">
        <x:v>Hierarchical Structures enabling Bills of Material</x:v>
      </x:c>
      <x:c r="C42" s="310" t="str">
        <x:v>Absent — exact artifact</x:v>
      </x:c>
      <x:c r="D42" s="310" t="str">
        <x:v>No separate record</x:v>
      </x:c>
      <x:c r="E42" s="310" t="str">
        <x:v>No separate record</x:v>
      </x:c>
      <x:c r="F42" s="310" t="str">
        <x:v>S25 complete DISR export; 12 Oct full-export query: IDTA IDs, AAS/63278, CCOM aliases; MIMOSA rows retained separately.</x:v>
      </x:c>
      <x:c r="G42" s="310" t="str">
        <x:v>The inspected IDTA 02011 template is absent from the authoritative current DISR baseline. No DoD or IC adoption status applies to it as a separate record. Recommend no addition without a selected native exchange or essential shared content; the existence of useful hierarchy concepts alone does not justify a change request (“StandardsReport” 2026).</x:v>
      </x:c>
      <x:c r="H42" s="310" t="str">
        <x:v>No exact adoption established in inspected NATO evidence</x:v>
      </x:c>
      <x:c r="I42" s="310" t="str">
        <x:v>S32 official 4789 package; no candidate-specific adoption artifact recovered.</x:v>
      </x:c>
      <x:c r="J42" s="310" t="str">
        <x:v>No exact NATO adoption of this template was established in the inspected material. Industrial hierarchy exchange is potentially relevant but is not already a NATO JISR implementation obligation. Recommend retaining it as a comparator and coordinating a specific profile only when its required exchange and audience are identified. DEVICE AND EQUIPMENT MODELS</x:v>
      </x:c>
      <x:c r="K42" s="310" t="str">
        <x:v>Meaning of each supplied relationship and source identity still require mapping.</x:v>
      </x:c>
      <x:c r="L42" s="310" t="str">
        <x:v>https://industrialdigitaltwin.org/en/wp-content/uploads/sites/2/2024/06/IDTA-02011-1-1_Submodel_HierarchicalStructuresEnablingBoM.pdf</x:v>
      </x:c>
      <x:c r="M42" s="310" t="str">
        <x:v>2026-10-12</x:v>
      </x:c>
      <x:c r="N42" s="310" t="str">
        <x:v>Research recommendation only. Baseline authoritative; implementation and governance decisions remain separate.</x:v>
      </x:c>
    </x:row>
    <x:row r="43" ht="140" customHeight="1">
      <x:c r="A43" s="312" t="str">
        <x:v>S38</x:v>
      </x:c>
      <x:c r="B43" s="313" t="str">
        <x:v>Hierarchical Structures enabling Bills of Material – Extension based on IEC 81346</x:v>
      </x:c>
      <x:c r="C43" s="313" t="str">
        <x:v>Absent — exact artifact</x:v>
      </x:c>
      <x:c r="D43" s="313" t="str">
        <x:v>No separate record</x:v>
      </x:c>
      <x:c r="E43" s="313" t="str">
        <x:v>No separate record</x:v>
      </x:c>
      <x:c r="F43" s="313" t="str">
        <x:v>S25 complete DISR export; 12 Oct full-export query: IDTA IDs, AAS/63278, CCOM aliases; MIMOSA rows retained separately.</x:v>
      </x:c>
      <x:c r="G43" s="313" t="str">
        <x:v>This exact IDTA extension is absent from the authoritative DISR baseline. Adoption of any underlying or adjacent engineering standard would not confer an independent entry on this template. Recommend no addition for conceptual comparison; reconsider only for a selected, useful implementation requirement (“StandardsReport” 2026).</x:v>
      </x:c>
      <x:c r="H43" s="313" t="str">
        <x:v>No exact adoption established in inspected NATO evidence</x:v>
      </x:c>
      <x:c r="I43" s="313" t="str">
        <x:v>S32 official 4789 package; no candidate-specific adoption artifact recovered.</x:v>
      </x:c>
      <x:c r="J43" s="313" t="str">
        <x:v>No exact NATO adoption of the IDTA extension was established. It should not be proposed as a military assignment model simply because the same words occur in engineering and operational contexts. Recommend no present submission; a future use needs agreement on the actual operational relation and appropriate NATO community ownership. DEVICE AND EQUIPMENT MODELS</x:v>
      </x:c>
      <x:c r="K43" s="313" t="str">
        <x:v>Military role meanings, source relationships and OGC binding are not supplied.</x:v>
      </x:c>
      <x:c r="L43" s="313" t="str">
        <x:v>https://industrialdigitaltwin.org/en/wp-content/uploads/sites/2/2025/08/IDTA-02011-1-Hierarchical-Structures-enabling-Bills-of-Material_Extension-based-on-IEC-81346.pdf</x:v>
      </x:c>
      <x:c r="M43" s="313" t="str">
        <x:v>2026-10-12</x:v>
      </x:c>
      <x:c r="N43" s="313" t="str">
        <x:v>Research recommendation only. Baseline authoritative; implementation and governance decisions remain separate.</x:v>
      </x:c>
    </x:row>
    <x:row r="44" ht="140" customHeight="1">
      <x:c r="A44" s="309" t="str">
        <x:v>S39</x:v>
      </x:c>
      <x:c r="B44" s="310" t="str">
        <x:v>Capability Description</x:v>
      </x:c>
      <x:c r="C44" s="310" t="str">
        <x:v>Absent — exact artifact</x:v>
      </x:c>
      <x:c r="D44" s="310" t="str">
        <x:v>No separate record</x:v>
      </x:c>
      <x:c r="E44" s="310" t="str">
        <x:v>No separate record</x:v>
      </x:c>
      <x:c r="F44" s="310" t="str">
        <x:v>S25 complete DISR export; 12 Oct full-export query: IDTA IDs, AAS/63278, CCOM aliases; MIMOSA rows retained separately.</x:v>
      </x:c>
      <x:c r="G44" s="310" t="str">
        <x:v>IDTA 02020 is absent from the authoritative current DISR baseline. No separate DoD or IC adoption status is listed. Recommend no present addition; a future proposal would need a defined capability-matching use and an exact artifact or binding that provides value beyond the existing OGC descriptions (“StandardsReport” 2026).</x:v>
      </x:c>
      <x:c r="H44" s="310" t="str">
        <x:v>No exact adoption established in inspected NATO evidence</x:v>
      </x:c>
      <x:c r="I44" s="310" t="str">
        <x:v>S32 official 4789 package; no candidate-specific adoption artifact recovered.</x:v>
      </x:c>
      <x:c r="J44" s="310" t="str">
        <x:v>No exact NATO adoption of this template was established in the inspected material. Its prospective relation to collection planning is an analytical analogy, not an endorsed NATO tasking model. Recommend no present submission; only a concrete coalition capability-description requirement would justify coordination with the sensor and operational-model communities.</x:v>
      </x:c>
      <x:c r="K44" s="310" t="str">
        <x:v>Sensing-domain capability vocabulary, effect/constraint meaning and command links remain to be defined.</x:v>
      </x:c>
      <x:c r="L44" s="310" t="str">
        <x:v>https://industrialdigitaltwin.org/en/wp-content/uploads/sites/2/2026/04/IDTA-02020_Submodel_Capability_Description.pdf</x:v>
      </x:c>
      <x:c r="M44" s="310" t="str">
        <x:v>2026-10-12</x:v>
      </x:c>
      <x:c r="N44" s="310" t="str">
        <x:v>Research recommendation only. Baseline authoritative; implementation and governance decisions remain separate.</x:v>
      </x:c>
    </x:row>
    <x:row r="45" ht="114" customHeight="1">
      <x:c r="A45" s="304" t="str">
        <x:v>S40</x:v>
      </x:c>
      <x:c r="B45" s="304" t="str">
        <x:v>Sentinel 1.0.7.2 Software Users Manual: selected ETU-II pages</x:v>
      </x:c>
      <x:c r="C45" s="304" t="str">
        <x:v>Source evidence; not a selected implementation standard</x:v>
      </x:c>
      <x:c r="D45" s="304" t="str">
        <x:v>Not asserted</x:v>
      </x:c>
      <x:c r="E45" s="304" t="str">
        <x:v>Not asserted</x:v>
      </x:c>
      <x:c r="F45" s="304" t="str">
        <x:v>Artifact role, not a transferred standards status</x:v>
      </x:c>
      <x:c r="G45" s="304" t="str">
        <x:v>This entry is a vendor/system manual used as evidence, not an external technical standard selected for DISR implementation. It carries no inferred status from the OGC or hardware standards compared with it. No manual-level DISR submission is recommended; any later normative agreement would be a distinct artifact.</x:v>
      </x:c>
      <x:c r="H45" s="304" t="str">
        <x:v>No NATO adoption claim</x:v>
      </x:c>
      <x:c r="I45" s="304" t="str">
        <x:v>Source manual/datasheet, not an adoption record</x:v>
      </x:c>
      <x:c r="J45" s="304" t="str">
        <x:v>No NATO adoption claim is made for this manual. Its contribution is to the source-grounded research case, not a coalition obligation to use Sentinel. No NATO submission is recommended for the manual; any reusable agreement would require its own scope and governance.</x:v>
      </x:c>
      <x:c r="K45" s="304" t="str">
        <x:v>Only a distinct future normative agreement would trigger a standards action</x:v>
      </x:c>
      <x:c r="L45" s="304" t="str">
        <x:v>Library locator: libfile_cbd2e80dc0e081918022604ef8d45f2e; TRSS Details View Research.pptx, slides 10–12</x:v>
      </x:c>
      <x:c r="M45" s="304" t="str">
        <x:v>2026-10-12</x:v>
      </x:c>
      <x:c r="N45" s="304" t="str">
        <x:v>Research does not adopt equipment or amend an implementation baseline</x:v>
      </x:c>
    </x:row>
    <x:row r="46" ht="114" customHeight="1">
      <x:c r="A46" s="304" t="str">
        <x:v>S41</x:v>
      </x:c>
      <x:c r="B46" s="304" t="str">
        <x:v>OmniSense CORE configuration and transducer reporting: selected manual pages</x:v>
      </x:c>
      <x:c r="C46" s="304" t="str">
        <x:v>Source evidence; not a selected implementation standard</x:v>
      </x:c>
      <x:c r="D46" s="304" t="str">
        <x:v>Not asserted</x:v>
      </x:c>
      <x:c r="E46" s="304" t="str">
        <x:v>Not asserted</x:v>
      </x:c>
      <x:c r="F46" s="304" t="str">
        <x:v>Artifact role, not a transferred standards status</x:v>
      </x:c>
      <x:c r="G46" s="304" t="str">
        <x:v>This is source-system documentation, not the standards contract proposed for adoption. No DoD or IC status is inferred from the standards used to analyze it. No DISR request is recommended for the manual itself.</x:v>
      </x:c>
      <x:c r="H46" s="304" t="str">
        <x:v>No NATO adoption claim</x:v>
      </x:c>
      <x:c r="I46" s="304" t="str">
        <x:v>Source manual/datasheet, not an adoption record</x:v>
      </x:c>
      <x:c r="J46" s="304" t="str">
        <x:v>No NATO adoption of the manual is asserted. It contributes an existing-system example to the research rather than a NATO implementation requirement. Any reusable OGC content agreement would need to be assessed as its own proposal, not as adoption of OmniSense.</x:v>
      </x:c>
      <x:c r="K46" s="304" t="str">
        <x:v>Only a distinct future normative agreement would trigger a standards action</x:v>
      </x:c>
      <x:c r="L46" s="304" t="str">
        <x:v>Library locator: libfile_7b30d4a27a44819194bef90e7c7aece4; SADU Details View Research.pptx, slides 1–7</x:v>
      </x:c>
      <x:c r="M46" s="304" t="str">
        <x:v>2026-10-12</x:v>
      </x:c>
      <x:c r="N46" s="304" t="str">
        <x:v>Research does not adopt equipment or amend an implementation baseline</x:v>
      </x:c>
    </x:row>
    <x:row r="47" ht="101" customHeight="1">
      <x:c r="A47" s="304" t="str">
        <x:v>S42</x:v>
      </x:c>
      <x:c r="B47" s="304" t="str">
        <x:v>Bosch BME280: environmental-model contrast</x:v>
      </x:c>
      <x:c r="C47" s="304" t="str">
        <x:v>Source evidence; not a selected implementation standard</x:v>
      </x:c>
      <x:c r="D47" s="304" t="str">
        <x:v>Not asserted</x:v>
      </x:c>
      <x:c r="E47" s="304" t="str">
        <x:v>Not asserted</x:v>
      </x:c>
      <x:c r="F47" s="304" t="str">
        <x:v>Artifact role, not a transferred standards status</x:v>
      </x:c>
      <x:c r="G47" s="304" t="str">
        <x:v>The datasheet is evidence about a commercial device, not an external standards dependency selected for DISR implementation. No status is inferred from a standards family or from the manufacturer’s identity. No device-datasheet submission is recommended.</x:v>
      </x:c>
      <x:c r="H47" s="304" t="str">
        <x:v>No NATO adoption claim</x:v>
      </x:c>
      <x:c r="I47" s="304" t="str">
        <x:v>Source manual/datasheet, not an adoption record</x:v>
      </x:c>
      <x:c r="J47" s="304" t="str">
        <x:v>No NATO device adoption or implementation requirement is claimed. The product is an analytical contrast, not a proposed coalition equipment selection. No NATO submission follows from using its public behavior description in this study.</x:v>
      </x:c>
      <x:c r="K47" s="304" t="str">
        <x:v>Only a distinct future normative agreement would trigger a standards action</x:v>
      </x:c>
      <x:c r="L47" s="304" t="str">
        <x:v>https://www.bosch-sensortec.com/media/boschsensortec/downloads/datasheets/bst-bme280-ds002.pdf</x:v>
      </x:c>
      <x:c r="M47" s="304" t="str">
        <x:v>2026-10-12</x:v>
      </x:c>
      <x:c r="N47" s="304" t="str">
        <x:v>Research does not adopt equipment or amend an implementation baseline</x:v>
      </x:c>
    </x:row>
    <x:row r="48" ht="101" customHeight="1">
      <x:c r="A48" s="315" t="str">
        <x:v>S43</x:v>
      </x:c>
      <x:c r="B48" s="304" t="str">
        <x:v>Common command-and-control user interface for current force UGS</x:v>
      </x:c>
      <x:c r="C48" s="304" t="str">
        <x:v>Research publication—not selected implementation standard</x:v>
      </x:c>
      <x:c r="D48" s="304" t="str">
        <x:v>No separate entry</x:v>
      </x:c>
      <x:c r="E48" s="304" t="str">
        <x:v>No separate entry</x:v>
      </x:c>
      <x:c r="F48" s="304" t="str">
        <x:v>Authoritative export; Search Log L23–L24; research-only role where applicable</x:v>
      </x:c>
      <x:c r="G48" s="304" t="str">
        <x:v>The paper is not a DISR implementation dependency selected by this work. No change request is recommended for the publication itself. Any recovered interface specification would need its own exact record and applicability assessment against the supplied baseline.</x:v>
      </x:c>
      <x:c r="H48" s="304" t="str">
        <x:v>Not established as exact adoption</x:v>
      </x:c>
      <x:c r="I48" s="304" t="str">
        <x:v>S51 experimentation / S32 custodial context; not independent adoption</x:v>
      </x:c>
      <x:c r="J48" s="304" t="str">
        <x:v>No NATO adoption of the paper or its underlying interface is established. U.S. current-force terminology does not supply Alliance implementation status. Retain it as historical engineering evidence rather than propose a NATO obligation from the abstract.</x:v>
      </x:c>
      <x:c r="K48" s="304" t="str">
        <x:v>Selected technical requirement and exact artifact; no request solely from citation</x:v>
      </x:c>
      <x:c r="L48" s="304" t="str">
        <x:v>https://doi.org/10.1117/12.822186</x:v>
      </x:c>
      <x:c r="M48" s="304" t="str">
        <x:v>2026-10-12</x:v>
      </x:c>
      <x:c r="N48" s="304" t="str">
        <x:v>Research recommendation; no submission or approval</x:v>
      </x:c>
    </x:row>
    <x:row r="49" ht="114" customHeight="1">
      <x:c r="A49" s="315" t="str">
        <x:v>S44</x:v>
      </x:c>
      <x:c r="B49" s="304" t="str">
        <x:v>OmniSense unattended ground sensor system</x:v>
      </x:c>
      <x:c r="C49" s="304" t="str">
        <x:v>Absent exact standard</x:v>
      </x:c>
      <x:c r="D49" s="304" t="str">
        <x:v>No separate entry</x:v>
      </x:c>
      <x:c r="E49" s="304" t="str">
        <x:v>No separate entry</x:v>
      </x:c>
      <x:c r="F49" s="304" t="str">
        <x:v>Authoritative export; Search Log L23–L24; research-only role where applicable</x:v>
      </x:c>
      <x:c r="G49" s="304" t="str">
        <x:v>CDIF was not found as an independent standard in the successful full-export checks. The paper is not itself the specification to add. Recommend no request until an exact usable artifact and required implementation role are established.</x:v>
      </x:c>
      <x:c r="H49" s="304" t="str">
        <x:v>Not established as exact adoption</x:v>
      </x:c>
      <x:c r="I49" s="304" t="str">
        <x:v>S51 experimentation / S32 custodial context; not independent adoption</x:v>
      </x:c>
      <x:c r="J49" s="304" t="str">
        <x:v>No exact NATO CDIF obligation or adoption is established by the inspected material. The original system’s military use is not equivalent to NATO standardization. Any future coalition interface proposal must identify the actual specification rather than this bibliographic record.</x:v>
      </x:c>
      <x:c r="K49" s="304" t="str">
        <x:v>Selected technical requirement and exact artifact; no request solely from citation</x:v>
      </x:c>
      <x:c r="L49" s="304" t="str">
        <x:v>https://doi.org/10.1117/12.784540</x:v>
      </x:c>
      <x:c r="M49" s="304" t="str">
        <x:v>2026-10-12</x:v>
      </x:c>
      <x:c r="N49" s="304" t="str">
        <x:v>Research recommendation; no submission or approval</x:v>
      </x:c>
    </x:row>
    <x:row r="50" ht="114" customHeight="1">
      <x:c r="A50" s="315" t="str">
        <x:v>S45</x:v>
      </x:c>
      <x:c r="B50" s="304" t="str">
        <x:v>The Open Standard for Unattended Sensors (OSUS) as a Platform for the Internet of Things (IOT)</x:v>
      </x:c>
      <x:c r="C50" s="304" t="str">
        <x:v>Research publication—not selected implementation standard</x:v>
      </x:c>
      <x:c r="D50" s="304" t="str">
        <x:v>No separate entry</x:v>
      </x:c>
      <x:c r="E50" s="304" t="str">
        <x:v>No separate entry</x:v>
      </x:c>
      <x:c r="F50" s="304" t="str">
        <x:v>Authoritative export; Search Log L23–L24; research-only role where applicable</x:v>
      </x:c>
      <x:c r="G50" s="304" t="str">
        <x:v>OSUS is absent from the checked authoritative baseline, and the thesis has no independent implementation status. Its discussion cannot confer status on a related OSGi specification or vice versa. Recommend no addition request for the thesis or for OSUS solely because this research cites it.</x:v>
      </x:c>
      <x:c r="H50" s="304" t="str">
        <x:v>Not established as exact adoption</x:v>
      </x:c>
      <x:c r="I50" s="304" t="str">
        <x:v>S51 experimentation / S32 custodial context; not independent adoption</x:v>
      </x:c>
      <x:c r="J50" s="304" t="str">
        <x:v>No NATO adoption of the thesis follows from its subject. Experimentation involving OSUS is separately documented in S51 and remains narrower than a mandate. A future NATO action would concern a selected technical artifact and requirement, not this academic record.</x:v>
      </x:c>
      <x:c r="K50" s="304" t="str">
        <x:v>Selected technical requirement and exact artifact; no request solely from citation</x:v>
      </x:c>
      <x:c r="L50" s="304" t="str">
        <x:v>https://ecommons.udayton.edu/graduate_theses/7186/</x:v>
      </x:c>
      <x:c r="M50" s="304" t="str">
        <x:v>2026-10-12</x:v>
      </x:c>
      <x:c r="N50" s="304" t="str">
        <x:v>Research recommendation; no submission or approval</x:v>
      </x:c>
    </x:row>
    <x:row r="51" ht="101" customHeight="1">
      <x:c r="A51" s="315" t="str">
        <x:v>S46</x:v>
      </x:c>
      <x:c r="B51" s="304" t="str">
        <x:v>Unattended Ground Sensor Survey</x:v>
      </x:c>
      <x:c r="C51" s="304" t="str">
        <x:v>Research publication—not selected implementation standard</x:v>
      </x:c>
      <x:c r="D51" s="304" t="str">
        <x:v>No separate entry</x:v>
      </x:c>
      <x:c r="E51" s="304" t="str">
        <x:v>No separate entry</x:v>
      </x:c>
      <x:c r="F51" s="304" t="str">
        <x:v>Authoritative export; Search Log L23–L24; research-only role where applicable</x:v>
      </x:c>
      <x:c r="G51" s="304" t="str">
        <x:v>This survey is not selected as a DISR implementation standard. No change request is recommended for the publication. Exact standards subsequently selected from its references must be evaluated independently.</x:v>
      </x:c>
      <x:c r="H51" s="304" t="str">
        <x:v>Not established as exact adoption</x:v>
      </x:c>
      <x:c r="I51" s="304" t="str">
        <x:v>S51 experimentation / S32 custodial context; not independent adoption</x:v>
      </x:c>
      <x:c r="J51" s="304" t="str">
        <x:v>The survey does not establish NATO adoption of the products or models it discusses. It is usable as engineering evidence without becoming an Alliance interface requirement. Recommend no NATO submission for this research publication.</x:v>
      </x:c>
      <x:c r="K51" s="304" t="str">
        <x:v>Selected technical requirement and exact artifact; no request solely from citation</x:v>
      </x:c>
      <x:c r="L51" s="304" t="str">
        <x:v>https://dsiac.dtic.mil/wp-content/uploads/2018/05/2165849_STI_Document.pdf</x:v>
      </x:c>
      <x:c r="M51" s="304" t="str">
        <x:v>2026-10-12</x:v>
      </x:c>
      <x:c r="N51" s="304" t="str">
        <x:v>Research recommendation; no submission or approval</x:v>
      </x:c>
    </x:row>
    <x:row r="52" ht="127" customHeight="1">
      <x:c r="A52" s="315" t="str">
        <x:v>S47</x:v>
      </x:c>
      <x:c r="B52" s="304" t="str">
        <x:v>OSUS-R Asset interface and capability model</x:v>
      </x:c>
      <x:c r="C52" s="304" t="str">
        <x:v>Absent exact standard</x:v>
      </x:c>
      <x:c r="D52" s="304" t="str">
        <x:v>No separate entry</x:v>
      </x:c>
      <x:c r="E52" s="304" t="str">
        <x:v>No separate entry</x:v>
      </x:c>
      <x:c r="F52" s="304" t="str">
        <x:v>Authoritative export; Search Log L23–L24; research-only role where applicable</x:v>
      </x:c>
      <x:c r="G52" s="304" t="str">
        <x:v>OSUS has no independent entry in the successful current-baseline checks. No addition is recommended for its present comparator role. A future native OSUS or normative profile dependency would require a distinct exact-version applicability case.</x:v>
      </x:c>
      <x:c r="H52" s="304" t="str">
        <x:v>Not established as exact adoption</x:v>
      </x:c>
      <x:c r="I52" s="304" t="str">
        <x:v>S51 experimentation / S32 custodial context; not independent adoption</x:v>
      </x:c>
      <x:c r="J52" s="304" t="str">
        <x:v>Dstl’s experimentation record supports a limited OSUS–OGC relationship, not a NATO mandate for this repository. No exact NATO adoption of the pinned code release is established. Recommend retaining the evidence and using the existing sensor-profile coordination route for a justified future technical proposal.</x:v>
      </x:c>
      <x:c r="K52" s="304" t="str">
        <x:v>Selected technical requirement and exact artifact; no request solely from citation</x:v>
      </x:c>
      <x:c r="L52" s="304" t="str">
        <x:v>https://github.com/ssg-udri/OSUS-R/blob/d09088fbe56d4b64f0544d72e98c3cb70fa941f6/mil.dod.th.core/src/mil/dod/th/core/asset/Asset.java</x:v>
      </x:c>
      <x:c r="M52" s="304" t="str">
        <x:v>2026-10-12</x:v>
      </x:c>
      <x:c r="N52" s="304" t="str">
        <x:v>Research recommendation; no submission or approval</x:v>
      </x:c>
    </x:row>
    <x:row r="53" ht="101" customHeight="1">
      <x:c r="A53" s="315" t="str">
        <x:v>S48</x:v>
      </x:c>
      <x:c r="B53" s="304" t="str">
        <x:v>Service-oriented Sensor Data Interoperability for IEEE 1451 Smart Transducers</x:v>
      </x:c>
      <x:c r="C53" s="304" t="str">
        <x:v>Research publication—not selected implementation standard</x:v>
      </x:c>
      <x:c r="D53" s="304" t="str">
        <x:v>No separate entry</x:v>
      </x:c>
      <x:c r="E53" s="304" t="str">
        <x:v>No separate entry</x:v>
      </x:c>
      <x:c r="F53" s="304" t="str">
        <x:v>Authoritative export; Search Log L23–L24; research-only role where applicable</x:v>
      </x:c>
      <x:c r="G53" s="304" t="str">
        <x:v>The baseline separately lists older IEEE 1451 editions as Retired and ISO/IEC/IEEE 21451-1, -2 and -4:2010 as Emerging / IC-Emerging. The paper does not transfer adoption between those editions. Recommend no request for the paper and no legacy implementation merely to repeat its demonstration.</x:v>
      </x:c>
      <x:c r="H53" s="304" t="str">
        <x:v>Not established as exact adoption</x:v>
      </x:c>
      <x:c r="I53" s="304" t="str">
        <x:v>S51 experimentation / S32 custodial context; not independent adoption</x:v>
      </x:c>
      <x:c r="J53" s="304" t="str">
        <x:v>No NATO implementation obligation is established by this prototype. Its OGC participation does not itself constitute NATO adoption. Any future device-interface requirement must identify the exact technical edition and applicable profile separately.</x:v>
      </x:c>
      <x:c r="K53" s="304" t="str">
        <x:v>Selected technical requirement and exact artifact; no request solely from citation</x:v>
      </x:c>
      <x:c r="L53" s="304" t="str">
        <x:v>https://tsapps.nist.gov/publication/get_pdf.cfm?pub_id=902312</x:v>
      </x:c>
      <x:c r="M53" s="304" t="str">
        <x:v>2026-10-12</x:v>
      </x:c>
      <x:c r="N53" s="304" t="str">
        <x:v>Research recommendation; no submission or approval</x:v>
      </x:c>
    </x:row>
    <x:row r="54" ht="75" customHeight="1">
      <x:c r="A54" s="315" t="str">
        <x:v>S49</x:v>
      </x:c>
      <x:c r="B54" s="304" t="str">
        <x:v>IoT Device Cybersecurity Capability Core Baseline</x:v>
      </x:c>
      <x:c r="C54" s="304" t="str">
        <x:v>Absent exact standard</x:v>
      </x:c>
      <x:c r="D54" s="304" t="str">
        <x:v>No separate entry</x:v>
      </x:c>
      <x:c r="E54" s="304" t="str">
        <x:v>No separate entry</x:v>
      </x:c>
      <x:c r="F54" s="304" t="str">
        <x:v>Authoritative export; Search Log L23–L24; research-only role where applicable</x:v>
      </x:c>
      <x:c r="G54" s="304" t="str">
        <x:v>NISTIR 8259A has no entry in the checked baseline. The matching RFC 8259 record concerns JSON and is not this publication. Recommend no category-driven addition; any security-standard selection would require its separate applicability decision.</x:v>
      </x:c>
      <x:c r="H54" s="304" t="str">
        <x:v>Not established as exact adoption</x:v>
      </x:c>
      <x:c r="I54" s="304" t="str">
        <x:v>S51 experimentation / S32 custodial context; not independent adoption</x:v>
      </x:c>
      <x:c r="J54" s="304" t="str">
        <x:v>No NATO adoption of this exact report is established. General IoT relevance is not an Alliance mandate. Recommend no NATO action from this research use.</x:v>
      </x:c>
      <x:c r="K54" s="304" t="str">
        <x:v>Selected technical requirement and exact artifact; no request solely from citation</x:v>
      </x:c>
      <x:c r="L54" s="304" t="str">
        <x:v>https://nvlpubs.nist.gov/nistpubs/ir/2020/NIST.IR.8259A.pdf</x:v>
      </x:c>
      <x:c r="M54" s="304" t="str">
        <x:v>2026-10-12</x:v>
      </x:c>
      <x:c r="N54" s="304" t="str">
        <x:v>Research recommendation; no submission or approval</x:v>
      </x:c>
    </x:row>
    <x:row r="55" ht="114" customHeight="1">
      <x:c r="A55" s="315" t="str">
        <x:v>S50</x:v>
      </x:c>
      <x:c r="B55" s="304" t="str">
        <x:v>Terminology for Constrained-Node Networks</x:v>
      </x:c>
      <x:c r="C55" s="304" t="str">
        <x:v>Absent exact standard</x:v>
      </x:c>
      <x:c r="D55" s="304" t="str">
        <x:v>No separate entry</x:v>
      </x:c>
      <x:c r="E55" s="304" t="str">
        <x:v>No separate entry</x:v>
      </x:c>
      <x:c r="F55" s="304" t="str">
        <x:v>Authoritative export; Search Log L23–L24; research-only role where applicable</x:v>
      </x:c>
      <x:c r="G55" s="304" t="str">
        <x:v>RFC 7228 is absent from the successful baseline checks. No addition is recommended solely for informative category terminology. A future normative reliance would be assessed with the actual profile and its selected scope.</x:v>
      </x:c>
      <x:c r="H55" s="304" t="str">
        <x:v>Not established as exact adoption</x:v>
      </x:c>
      <x:c r="I55" s="304" t="str">
        <x:v>S51 experimentation / S32 custodial context; not independent adoption</x:v>
      </x:c>
      <x:c r="J55" s="304" t="str">
        <x:v>No exact NATO adoption is established. A constrained-network term can inform the research without defining a NATO interoperability obligation. Any formal profile reference should state the applicable constraint rather than imply that the entire Alliance sensor estate has it.</x:v>
      </x:c>
      <x:c r="K55" s="304" t="str">
        <x:v>Selected technical requirement and exact artifact; no request solely from citation</x:v>
      </x:c>
      <x:c r="L55" s="304" t="str">
        <x:v>https://www.rfc-editor.org/rfc/rfc7228.html</x:v>
      </x:c>
      <x:c r="M55" s="304" t="str">
        <x:v>2026-10-12</x:v>
      </x:c>
      <x:c r="N55" s="304" t="str">
        <x:v>Research recommendation; no submission or approval</x:v>
      </x:c>
    </x:row>
    <x:row r="56" ht="114" customHeight="1">
      <x:c r="A56" s="315" t="str">
        <x:v>S51</x:v>
      </x:c>
      <x:c r="B56" s="304" t="str">
        <x:v>SAPIENT autonomous sensor system</x:v>
      </x:c>
      <x:c r="C56" s="304" t="str">
        <x:v>Absent exact standard</x:v>
      </x:c>
      <x:c r="D56" s="304" t="str">
        <x:v>No separate entry</x:v>
      </x:c>
      <x:c r="E56" s="304" t="str">
        <x:v>No separate entry</x:v>
      </x:c>
      <x:c r="F56" s="304" t="str">
        <x:v>Authoritative export; Search Log L23–L24; research-only role where applicable</x:v>
      </x:c>
      <x:c r="G56" s="304" t="str">
        <x:v>SAPIENT has no entry in the successful baseline checks. This guidance page is not the technical artifact that would be proposed for addition. Recommend no immediate request; identify an actual interface dependency before reconsidering.</x:v>
      </x:c>
      <x:c r="H56" s="304" t="str">
        <x:v>Not established as exact adoption</x:v>
      </x:c>
      <x:c r="I56" s="304" t="str">
        <x:v>S51 experimentation / S32 custodial context; not independent adoption</x:v>
      </x:c>
      <x:c r="J56" s="304" t="str">
        <x:v>A multinational or NATO-related experiment is not equivalent to a STANAG mandate or national implementation decision. No exact NATO adoption of the referenced releases is established by this page. Use it as cooperative evidence and keep the existing STANAG 4789 coordination context separate.</x:v>
      </x:c>
      <x:c r="K56" s="304" t="str">
        <x:v>Selected technical requirement and exact artifact; no request solely from citation</x:v>
      </x:c>
      <x:c r="L56" s="304" t="str">
        <x:v>https://www.gov.uk/guidance/sapient-autonomous-sensor-system</x:v>
      </x:c>
      <x:c r="M56" s="304" t="str">
        <x:v>2026-10-12</x:v>
      </x:c>
      <x:c r="N56" s="304" t="str">
        <x:v>Research recommendation; no submission or approval</x:v>
      </x:c>
    </x:row>
    <x:row r="57" ht="114" customHeight="1">
      <x:c r="A57" s="315" t="str">
        <x:v>S52</x:v>
      </x:c>
      <x:c r="B57" s="304" t="str">
        <x:v>Information technology—Sensor networks: Sensor Network Reference Architecture (SNRA)—Part 4: Entity models</x:v>
      </x:c>
      <x:c r="C57" s="304" t="str">
        <x:v>Absent exact standard</x:v>
      </x:c>
      <x:c r="D57" s="304" t="str">
        <x:v>No separate entry</x:v>
      </x:c>
      <x:c r="E57" s="304" t="str">
        <x:v>No separate entry</x:v>
      </x:c>
      <x:c r="F57" s="304" t="str">
        <x:v>Authoritative export; Search Log L23–L24; research-only role where applicable</x:v>
      </x:c>
      <x:c r="G57" s="304" t="str">
        <x:v>ISO/IEC 29182-4 is absent from the successful exact-identifier baseline check. No addition is recommended merely to use an architectural reference in research. A later normative dependency or formal profile citation should be justified and routed as that specific artifact.</x:v>
      </x:c>
      <x:c r="H57" s="304" t="str">
        <x:v>Not established as exact adoption</x:v>
      </x:c>
      <x:c r="I57" s="304" t="str">
        <x:v>S51 experimentation / S32 custodial context; not independent adoption</x:v>
      </x:c>
      <x:c r="J57" s="304" t="str">
        <x:v>No exact NATO adoption has been established for this edition. An international standard’s publication is not Alliance adoption. Recommend no immediate NATO submission; a justified profile should explain this reference’s scope role through the relevant custodial process.</x:v>
      </x:c>
      <x:c r="K57" s="304" t="str">
        <x:v>Selected technical requirement and exact artifact; no request solely from citation</x:v>
      </x:c>
      <x:c r="L57" s="304" t="str">
        <x:v>https://www.iso.org/standard/57094.html</x:v>
      </x:c>
      <x:c r="M57" s="304" t="str">
        <x:v>2026-10-12</x:v>
      </x:c>
      <x:c r="N57" s="304" t="str">
        <x:v>Research recommendation; no submission or approval</x:v>
      </x:c>
    </x:row>
    <x:row r="58" ht="74" customHeight="1">
      <x:c r="A58" s="316" t="str">
        <x:v>S53</x:v>
      </x:c>
      <x:c r="B58" s="317" t="str">
        <x:v>The Interfaces Group MIB</x:v>
      </x:c>
      <x:c r="C58" s="317" t="str">
        <x:v>Not newly verified for this exact edition/artifact</x:v>
      </x:c>
      <x:c r="D58" s="317" t="str">
        <x:v>Not assigned</x:v>
      </x:c>
      <x:c r="E58" s="317" t="str">
        <x:v>Not assigned</x:v>
      </x:c>
      <x:c r="F58" s="317" t="str">
        <x:v>Original S25 baseline retained; new lookup not performed</x:v>
      </x:c>
      <x:c r="G58" s="317" t="str">
        <x:v>No current registry action: technical dependency/edition and implementation target must be selected first</x:v>
      </x:c>
      <x:c r="H58" s="317" t="str">
        <x:v>No exact current NATO adoption newly verified</x:v>
      </x:c>
      <x:c r="I58" s="317" t="str">
        <x:v>Main profile v0.3.1 and standards-pedigree primer, plus ISA/power references</x:v>
      </x:c>
      <x:c r="J58" s="317" t="str">
        <x:v>Coordinate applicable OGC/STANAG profile through custodian only after a real NATO requirement and exact edition decision</x:v>
      </x:c>
      <x:c r="K58" s="317" t="str">
        <x:v>Selected concrete dependency, scope, and authority approval—not citation alone</x:v>
      </x:c>
      <x:c r="L58" s="317" t="str">
        <x:v>https://www.rfc-editor.org/rfc/rfc2863.html</x:v>
      </x:c>
      <x:c r="M58" s="317" t="str">
        <x:v>2026-10-14</x:v>
      </x:c>
      <x:c r="N58" s="317" t="str">
        <x:v>Research tracking only; no national/Alliance approval</x:v>
      </x:c>
    </x:row>
    <x:row r="59" ht="74" customHeight="1">
      <x:c r="A59" s="316" t="str">
        <x:v>S54</x:v>
      </x:c>
      <x:c r="B59" s="317" t="str">
        <x:v>A YANG Data Model for Interface Management</x:v>
      </x:c>
      <x:c r="C59" s="317" t="str">
        <x:v>Not newly verified for this exact edition/artifact</x:v>
      </x:c>
      <x:c r="D59" s="317" t="str">
        <x:v>Not assigned</x:v>
      </x:c>
      <x:c r="E59" s="317" t="str">
        <x:v>Not assigned</x:v>
      </x:c>
      <x:c r="F59" s="317" t="str">
        <x:v>Original S25 baseline retained; new lookup not performed</x:v>
      </x:c>
      <x:c r="G59" s="317" t="str">
        <x:v>No current registry action: technical dependency/edition and implementation target must be selected first</x:v>
      </x:c>
      <x:c r="H59" s="317" t="str">
        <x:v>No exact current NATO adoption newly verified</x:v>
      </x:c>
      <x:c r="I59" s="317" t="str">
        <x:v>Main profile v0.3.1 and standards-pedigree primer, plus ISA/power references</x:v>
      </x:c>
      <x:c r="J59" s="317" t="str">
        <x:v>Coordinate applicable OGC/STANAG profile through custodian only after a real NATO requirement and exact edition decision</x:v>
      </x:c>
      <x:c r="K59" s="317" t="str">
        <x:v>Selected concrete dependency, scope, and authority approval—not citation alone</x:v>
      </x:c>
      <x:c r="L59" s="317" t="str">
        <x:v>https://www.rfc-editor.org/rfc/rfc8343.html</x:v>
      </x:c>
      <x:c r="M59" s="317" t="str">
        <x:v>2026-10-14</x:v>
      </x:c>
      <x:c r="N59" s="317" t="str">
        <x:v>Research tracking only; no national/Alliance approval</x:v>
      </x:c>
    </x:row>
    <x:row r="60" ht="74" customHeight="1">
      <x:c r="A60" s="316" t="str">
        <x:v>S55</x:v>
      </x:c>
      <x:c r="B60" s="317" t="str">
        <x:v>A YANG Data Model for Network Topologies</x:v>
      </x:c>
      <x:c r="C60" s="317" t="str">
        <x:v>Not newly verified for this exact edition/artifact</x:v>
      </x:c>
      <x:c r="D60" s="317" t="str">
        <x:v>Not assigned</x:v>
      </x:c>
      <x:c r="E60" s="317" t="str">
        <x:v>Not assigned</x:v>
      </x:c>
      <x:c r="F60" s="317" t="str">
        <x:v>Original S25 baseline retained; new lookup not performed</x:v>
      </x:c>
      <x:c r="G60" s="317" t="str">
        <x:v>No current registry action: technical dependency/edition and implementation target must be selected first</x:v>
      </x:c>
      <x:c r="H60" s="317" t="str">
        <x:v>No exact current NATO adoption newly verified</x:v>
      </x:c>
      <x:c r="I60" s="317" t="str">
        <x:v>Main profile v0.3.1 and standards-pedigree primer, plus ISA/power references</x:v>
      </x:c>
      <x:c r="J60" s="317" t="str">
        <x:v>Coordinate applicable OGC/STANAG profile through custodian only after a real NATO requirement and exact edition decision</x:v>
      </x:c>
      <x:c r="K60" s="317" t="str">
        <x:v>Selected concrete dependency, scope, and authority approval—not citation alone</x:v>
      </x:c>
      <x:c r="L60" s="317" t="str">
        <x:v>https://www.rfc-editor.org/rfc/rfc8345.html</x:v>
      </x:c>
      <x:c r="M60" s="317" t="str">
        <x:v>2026-10-14</x:v>
      </x:c>
      <x:c r="N60" s="317" t="str">
        <x:v>Research tracking only; no national/Alliance approval</x:v>
      </x:c>
    </x:row>
    <x:row r="61" ht="74" customHeight="1">
      <x:c r="A61" s="316" t="str">
        <x:v>S56</x:v>
      </x:c>
      <x:c r="B61" s="317" t="str">
        <x:v>The profile Link Relation Type</x:v>
      </x:c>
      <x:c r="C61" s="317" t="str">
        <x:v>Not newly verified for this exact edition/artifact</x:v>
      </x:c>
      <x:c r="D61" s="317" t="str">
        <x:v>Not assigned</x:v>
      </x:c>
      <x:c r="E61" s="317" t="str">
        <x:v>Not assigned</x:v>
      </x:c>
      <x:c r="F61" s="317" t="str">
        <x:v>Original S25 baseline retained; new lookup not performed</x:v>
      </x:c>
      <x:c r="G61" s="317" t="str">
        <x:v>No current registry action: technical dependency/edition and implementation target must be selected first</x:v>
      </x:c>
      <x:c r="H61" s="317" t="str">
        <x:v>No exact current NATO adoption newly verified</x:v>
      </x:c>
      <x:c r="I61" s="317" t="str">
        <x:v>Main profile v0.3.1 and standards-pedigree primer, plus ISA/power references</x:v>
      </x:c>
      <x:c r="J61" s="317" t="str">
        <x:v>Coordinate applicable OGC/STANAG profile through custodian only after a real NATO requirement and exact edition decision</x:v>
      </x:c>
      <x:c r="K61" s="317" t="str">
        <x:v>Selected concrete dependency, scope, and authority approval—not citation alone</x:v>
      </x:c>
      <x:c r="L61" s="317" t="str">
        <x:v>https://www.rfc-editor.org/rfc/rfc6906.html</x:v>
      </x:c>
      <x:c r="M61" s="317" t="str">
        <x:v>2026-10-14</x:v>
      </x:c>
      <x:c r="N61" s="317" t="str">
        <x:v>Research tracking only; no national/Alliance approval</x:v>
      </x:c>
    </x:row>
    <x:row r="62" ht="74" customHeight="1">
      <x:c r="A62" s="316" t="str">
        <x:v>S57</x:v>
      </x:c>
      <x:c r="B62" s="317" t="str">
        <x:v>Uniform Resource Identifier Generic Syntax</x:v>
      </x:c>
      <x:c r="C62" s="317" t="str">
        <x:v>Not newly verified for this exact edition/artifact</x:v>
      </x:c>
      <x:c r="D62" s="317" t="str">
        <x:v>Not assigned</x:v>
      </x:c>
      <x:c r="E62" s="317" t="str">
        <x:v>Not assigned</x:v>
      </x:c>
      <x:c r="F62" s="317" t="str">
        <x:v>Original S25 baseline retained; new lookup not performed</x:v>
      </x:c>
      <x:c r="G62" s="317" t="str">
        <x:v>No current registry action: technical dependency/edition and implementation target must be selected first</x:v>
      </x:c>
      <x:c r="H62" s="317" t="str">
        <x:v>No exact current NATO adoption newly verified</x:v>
      </x:c>
      <x:c r="I62" s="317" t="str">
        <x:v>Main profile v0.3.1 and standards-pedigree primer, plus ISA/power references</x:v>
      </x:c>
      <x:c r="J62" s="317" t="str">
        <x:v>Coordinate applicable OGC/STANAG profile through custodian only after a real NATO requirement and exact edition decision</x:v>
      </x:c>
      <x:c r="K62" s="317" t="str">
        <x:v>Selected concrete dependency, scope, and authority approval—not citation alone</x:v>
      </x:c>
      <x:c r="L62" s="317" t="str">
        <x:v>https://www.rfc-editor.org/rfc/rfc3986.html</x:v>
      </x:c>
      <x:c r="M62" s="317" t="str">
        <x:v>2026-10-14</x:v>
      </x:c>
      <x:c r="N62" s="317" t="str">
        <x:v>Research tracking only; no national/Alliance approval</x:v>
      </x:c>
    </x:row>
    <x:row r="63" ht="74" customHeight="1">
      <x:c r="A63" s="316" t="str">
        <x:v>S58</x:v>
      </x:c>
      <x:c r="B63" s="317" t="str">
        <x:v>JavaScript Object Notation Pointer</x:v>
      </x:c>
      <x:c r="C63" s="317" t="str">
        <x:v>Not newly verified for this exact edition/artifact</x:v>
      </x:c>
      <x:c r="D63" s="317" t="str">
        <x:v>Not assigned</x:v>
      </x:c>
      <x:c r="E63" s="317" t="str">
        <x:v>Not assigned</x:v>
      </x:c>
      <x:c r="F63" s="317" t="str">
        <x:v>Original S25 baseline retained; new lookup not performed</x:v>
      </x:c>
      <x:c r="G63" s="317" t="str">
        <x:v>No current registry action: technical dependency/edition and implementation target must be selected first</x:v>
      </x:c>
      <x:c r="H63" s="317" t="str">
        <x:v>No exact current NATO adoption newly verified</x:v>
      </x:c>
      <x:c r="I63" s="317" t="str">
        <x:v>Main profile v0.3.1 and standards-pedigree primer, plus ISA/power references</x:v>
      </x:c>
      <x:c r="J63" s="317" t="str">
        <x:v>Coordinate applicable OGC/STANAG profile through custodian only after a real NATO requirement and exact edition decision</x:v>
      </x:c>
      <x:c r="K63" s="317" t="str">
        <x:v>Selected concrete dependency, scope, and authority approval—not citation alone</x:v>
      </x:c>
      <x:c r="L63" s="317" t="str">
        <x:v>https://www.rfc-editor.org/rfc/rfc6901.html</x:v>
      </x:c>
      <x:c r="M63" s="317" t="str">
        <x:v>2026-10-14</x:v>
      </x:c>
      <x:c r="N63" s="317" t="str">
        <x:v>Research tracking only; no national/Alliance approval</x:v>
      </x:c>
    </x:row>
    <x:row r="64" ht="74" customHeight="1">
      <x:c r="A64" s="316" t="str">
        <x:v>S59</x:v>
      </x:c>
      <x:c r="B64" s="317" t="str">
        <x:v>SensorML 3.0 JSON Schema collection</x:v>
      </x:c>
      <x:c r="C64" s="317" t="str">
        <x:v>Not newly verified for this exact edition/artifact</x:v>
      </x:c>
      <x:c r="D64" s="317" t="str">
        <x:v>Not assigned</x:v>
      </x:c>
      <x:c r="E64" s="317" t="str">
        <x:v>Not assigned</x:v>
      </x:c>
      <x:c r="F64" s="317" t="str">
        <x:v>Original S25 baseline retained; new lookup not performed</x:v>
      </x:c>
      <x:c r="G64" s="317" t="str">
        <x:v>No current registry action: technical dependency/edition and implementation target must be selected first</x:v>
      </x:c>
      <x:c r="H64" s="317" t="str">
        <x:v>No exact current NATO adoption newly verified</x:v>
      </x:c>
      <x:c r="I64" s="317" t="str">
        <x:v>Main profile v0.3.1 and standards-pedigree primer, plus ISA/power references</x:v>
      </x:c>
      <x:c r="J64" s="317" t="str">
        <x:v>Coordinate applicable OGC/STANAG profile through custodian only after a real NATO requirement and exact edition decision</x:v>
      </x:c>
      <x:c r="K64" s="317" t="str">
        <x:v>Selected concrete dependency, scope, and authority approval—not citation alone</x:v>
      </x:c>
      <x:c r="L64" s="317" t="str">
        <x:v>https://schemas.opengis.net/sensorML/3.0/json/</x:v>
      </x:c>
      <x:c r="M64" s="317" t="str">
        <x:v>2026-10-14</x:v>
      </x:c>
      <x:c r="N64" s="317" t="str">
        <x:v>Research tracking only; no national/Alliance approval</x:v>
      </x:c>
    </x:row>
    <x:row r="65" ht="74" customHeight="1">
      <x:c r="A65" s="316" t="str">
        <x:v>S60</x:v>
      </x:c>
      <x:c r="B65" s="317" t="str">
        <x:v>CSAPI Part 2 SystemEvent JSON Schema</x:v>
      </x:c>
      <x:c r="C65" s="317" t="str">
        <x:v>Not newly verified for this exact edition/artifact</x:v>
      </x:c>
      <x:c r="D65" s="317" t="str">
        <x:v>Not assigned</x:v>
      </x:c>
      <x:c r="E65" s="317" t="str">
        <x:v>Not assigned</x:v>
      </x:c>
      <x:c r="F65" s="317" t="str">
        <x:v>Original S25 baseline retained; new lookup not performed</x:v>
      </x:c>
      <x:c r="G65" s="317" t="str">
        <x:v>No current registry action: technical dependency/edition and implementation target must be selected first</x:v>
      </x:c>
      <x:c r="H65" s="317" t="str">
        <x:v>No exact current NATO adoption newly verified</x:v>
      </x:c>
      <x:c r="I65" s="317" t="str">
        <x:v>Main profile v0.3.1 and standards-pedigree primer, plus ISA/power references</x:v>
      </x:c>
      <x:c r="J65" s="317" t="str">
        <x:v>Coordinate applicable OGC/STANAG profile through custodian only after a real NATO requirement and exact edition decision</x:v>
      </x:c>
      <x:c r="K65" s="317" t="str">
        <x:v>Selected concrete dependency, scope, and authority approval—not citation alone</x:v>
      </x:c>
      <x:c r="L65" s="317" t="str">
        <x:v>https://schemas.opengis.net/ogcapi/connected-systems/part2/1.0/</x:v>
      </x:c>
      <x:c r="M65" s="317" t="str">
        <x:v>2026-10-14</x:v>
      </x:c>
      <x:c r="N65" s="317" t="str">
        <x:v>Research tracking only; no national/Alliance approval</x:v>
      </x:c>
    </x:row>
    <x:row r="66" ht="74" customHeight="1">
      <x:c r="A66" s="316" t="str">
        <x:v>S61</x:v>
      </x:c>
      <x:c r="B66" s="317" t="str">
        <x:v>Monitoring and Control MIB for Power and Energy</x:v>
      </x:c>
      <x:c r="C66" s="317" t="str">
        <x:v>Absent exact RFC (Power Source whole-export audit)</x:v>
      </x:c>
      <x:c r="D66" s="317" t="str">
        <x:v>No exact entry</x:v>
      </x:c>
      <x:c r="E66" s="317" t="str">
        <x:v>No separate IC entry</x:v>
      </x:c>
      <x:c r="F66" s="317" t="str">
        <x:v>Power Source report §12; entire 10 Oct export checked</x:v>
      </x:c>
      <x:c r="G66" s="317" t="str">
        <x:v>No current registry action: technical dependency/edition and implementation target must be selected first</x:v>
      </x:c>
      <x:c r="H66" s="317" t="str">
        <x:v>No exact current NATO adoption newly verified</x:v>
      </x:c>
      <x:c r="I66" s="317" t="str">
        <x:v>Power Source model and binding recommendation, 14 October 2026</x:v>
      </x:c>
      <x:c r="J66" s="317" t="str">
        <x:v>Coordinate applicable OGC/STANAG profile through custodian only after a real NATO requirement and exact edition decision</x:v>
      </x:c>
      <x:c r="K66" s="317" t="str">
        <x:v>Selected concrete dependency, scope, and authority approval—not citation alone</x:v>
      </x:c>
      <x:c r="L66" s="317" t="str">
        <x:v>https://www.rfc-editor.org/rfc/rfc7460.html</x:v>
      </x:c>
      <x:c r="M66" s="317" t="str">
        <x:v>2026-10-14</x:v>
      </x:c>
      <x:c r="N66" s="317" t="str">
        <x:v>Research tracking only; no national/Alliance approval</x:v>
      </x:c>
    </x:row>
    <x:row r="67" ht="74" customHeight="1">
      <x:c r="A67" s="316" t="str">
        <x:v>S62</x:v>
      </x:c>
      <x:c r="B67" s="317" t="str">
        <x:v>Energy Object Context MIB</x:v>
      </x:c>
      <x:c r="C67" s="317" t="str">
        <x:v>Absent exact RFC (Power Source whole-export audit)</x:v>
      </x:c>
      <x:c r="D67" s="317" t="str">
        <x:v>No exact entry</x:v>
      </x:c>
      <x:c r="E67" s="317" t="str">
        <x:v>No separate IC entry</x:v>
      </x:c>
      <x:c r="F67" s="317" t="str">
        <x:v>Power Source report §12; entire 10 Oct export checked</x:v>
      </x:c>
      <x:c r="G67" s="317" t="str">
        <x:v>No current registry action: technical dependency/edition and implementation target must be selected first</x:v>
      </x:c>
      <x:c r="H67" s="317" t="str">
        <x:v>No exact current NATO adoption newly verified</x:v>
      </x:c>
      <x:c r="I67" s="317" t="str">
        <x:v>Power Source model and binding recommendation, 14 October 2026</x:v>
      </x:c>
      <x:c r="J67" s="317" t="str">
        <x:v>Coordinate applicable OGC/STANAG profile through custodian only after a real NATO requirement and exact edition decision</x:v>
      </x:c>
      <x:c r="K67" s="317" t="str">
        <x:v>Selected concrete dependency, scope, and authority approval—not citation alone</x:v>
      </x:c>
      <x:c r="L67" s="317" t="str">
        <x:v>https://www.rfc-editor.org/rfc/rfc7461.html</x:v>
      </x:c>
      <x:c r="M67" s="317" t="str">
        <x:v>2026-10-14</x:v>
      </x:c>
      <x:c r="N67" s="317" t="str">
        <x:v>Research tracking only; no national/Alliance approval</x:v>
      </x:c>
    </x:row>
    <x:row r="68" ht="74" customHeight="1">
      <x:c r="A68" s="316" t="str">
        <x:v>S63</x:v>
      </x:c>
      <x:c r="B68" s="317" t="str">
        <x:v>CIM_Battery in CIM Schema 2.31</x:v>
      </x:c>
      <x:c r="C68" s="317" t="str">
        <x:v>Not newly verified for this exact edition/artifact</x:v>
      </x:c>
      <x:c r="D68" s="317" t="str">
        <x:v>Not assigned</x:v>
      </x:c>
      <x:c r="E68" s="317" t="str">
        <x:v>Not assigned</x:v>
      </x:c>
      <x:c r="F68" s="317" t="str">
        <x:v>Original S25 baseline retained; new lookup not performed</x:v>
      </x:c>
      <x:c r="G68" s="317" t="str">
        <x:v>No current registry action: technical dependency/edition and implementation target must be selected first</x:v>
      </x:c>
      <x:c r="H68" s="317" t="str">
        <x:v>No exact current NATO adoption newly verified</x:v>
      </x:c>
      <x:c r="I68" s="317" t="str">
        <x:v>Power Source model and binding recommendation, 14 October 2026</x:v>
      </x:c>
      <x:c r="J68" s="317" t="str">
        <x:v>Coordinate applicable OGC/STANAG profile through custodian only after a real NATO requirement and exact edition decision</x:v>
      </x:c>
      <x:c r="K68" s="317" t="str">
        <x:v>Selected concrete dependency, scope, and authority approval—not citation alone</x:v>
      </x:c>
      <x:c r="L68" s="317" t="str">
        <x:v>https://www.dmtf.org/standards/cim</x:v>
      </x:c>
      <x:c r="M68" s="317" t="str">
        <x:v>2026-10-14</x:v>
      </x:c>
      <x:c r="N68" s="317" t="str">
        <x:v>Research tracking only; no national/Alliance approval</x:v>
      </x:c>
    </x:row>
    <x:row r="69" ht="74" customHeight="1">
      <x:c r="A69" s="316" t="str">
        <x:v>S64</x:v>
      </x:c>
      <x:c r="B69" s="317" t="str">
        <x:v>Redfish Battery JSON Schema</x:v>
      </x:c>
      <x:c r="C69" s="317" t="str">
        <x:v>Not newly verified for this exact edition/artifact</x:v>
      </x:c>
      <x:c r="D69" s="317" t="str">
        <x:v>Not assigned</x:v>
      </x:c>
      <x:c r="E69" s="317" t="str">
        <x:v>Not assigned</x:v>
      </x:c>
      <x:c r="F69" s="317" t="str">
        <x:v>Original S25 baseline retained; new lookup not performed</x:v>
      </x:c>
      <x:c r="G69" s="317" t="str">
        <x:v>No current registry action: technical dependency/edition and implementation target must be selected first</x:v>
      </x:c>
      <x:c r="H69" s="317" t="str">
        <x:v>No exact current NATO adoption newly verified</x:v>
      </x:c>
      <x:c r="I69" s="317" t="str">
        <x:v>Power Source model and binding recommendation, 14 October 2026</x:v>
      </x:c>
      <x:c r="J69" s="317" t="str">
        <x:v>Coordinate applicable OGC/STANAG profile through custodian only after a real NATO requirement and exact edition decision</x:v>
      </x:c>
      <x:c r="K69" s="317" t="str">
        <x:v>Selected concrete dependency, scope, and authority approval—not citation alone</x:v>
      </x:c>
      <x:c r="L69" s="317" t="str">
        <x:v>https://github.com/DMTF/Redfish-Publications/blob/master/json-schema/Battery.v1_4_0.json</x:v>
      </x:c>
      <x:c r="M69" s="317" t="str">
        <x:v>2026-10-14</x:v>
      </x:c>
      <x:c r="N69" s="317" t="str">
        <x:v>Research tracking only; no national/Alliance approval</x:v>
      </x:c>
    </x:row>
    <x:row r="70" ht="74" customHeight="1">
      <x:c r="A70" s="316" t="str">
        <x:v>S65</x:v>
      </x:c>
      <x:c r="B70" s="317" t="str">
        <x:v>Redfish BatteryMetrics JSON Schema</x:v>
      </x:c>
      <x:c r="C70" s="317" t="str">
        <x:v>Not newly verified for this exact edition/artifact</x:v>
      </x:c>
      <x:c r="D70" s="317" t="str">
        <x:v>Not assigned</x:v>
      </x:c>
      <x:c r="E70" s="317" t="str">
        <x:v>Not assigned</x:v>
      </x:c>
      <x:c r="F70" s="317" t="str">
        <x:v>Original S25 baseline retained; new lookup not performed</x:v>
      </x:c>
      <x:c r="G70" s="317" t="str">
        <x:v>No current registry action: technical dependency/edition and implementation target must be selected first</x:v>
      </x:c>
      <x:c r="H70" s="317" t="str">
        <x:v>No exact current NATO adoption newly verified</x:v>
      </x:c>
      <x:c r="I70" s="317" t="str">
        <x:v>Power Source model and binding recommendation, 14 October 2026</x:v>
      </x:c>
      <x:c r="J70" s="317" t="str">
        <x:v>Coordinate applicable OGC/STANAG profile through custodian only after a real NATO requirement and exact edition decision</x:v>
      </x:c>
      <x:c r="K70" s="317" t="str">
        <x:v>Selected concrete dependency, scope, and authority approval—not citation alone</x:v>
      </x:c>
      <x:c r="L70" s="317" t="str">
        <x:v>https://github.com/DMTF/Redfish-Publications/blob/master/json-schema/BatteryMetrics.v1_1_0.json</x:v>
      </x:c>
      <x:c r="M70" s="317" t="str">
        <x:v>2026-10-14</x:v>
      </x:c>
      <x:c r="N70" s="317" t="str">
        <x:v>Research tracking only; no national/Alliance approval</x:v>
      </x:c>
    </x:row>
    <x:row r="71" ht="74" customHeight="1">
      <x:c r="A71" s="316" t="str">
        <x:v>S66</x:v>
      </x:c>
      <x:c r="B71" s="317" t="str">
        <x:v>Redfish PowerDistribution JSON Schema</x:v>
      </x:c>
      <x:c r="C71" s="317" t="str">
        <x:v>Not newly verified for this exact edition/artifact</x:v>
      </x:c>
      <x:c r="D71" s="317" t="str">
        <x:v>Not assigned</x:v>
      </x:c>
      <x:c r="E71" s="317" t="str">
        <x:v>Not assigned</x:v>
      </x:c>
      <x:c r="F71" s="317" t="str">
        <x:v>Original S25 baseline retained; new lookup not performed</x:v>
      </x:c>
      <x:c r="G71" s="317" t="str">
        <x:v>No current registry action: technical dependency/edition and implementation target must be selected first</x:v>
      </x:c>
      <x:c r="H71" s="317" t="str">
        <x:v>No exact current NATO adoption newly verified</x:v>
      </x:c>
      <x:c r="I71" s="317" t="str">
        <x:v>Power Source model and binding recommendation, 14 October 2026</x:v>
      </x:c>
      <x:c r="J71" s="317" t="str">
        <x:v>Coordinate applicable OGC/STANAG profile through custodian only after a real NATO requirement and exact edition decision</x:v>
      </x:c>
      <x:c r="K71" s="317" t="str">
        <x:v>Selected concrete dependency, scope, and authority approval—not citation alone</x:v>
      </x:c>
      <x:c r="L71" s="317" t="str">
        <x:v>https://github.com/DMTF/Redfish-Publications/blob/master/json-schema/PowerDistribution.v1_4_0.json</x:v>
      </x:c>
      <x:c r="M71" s="317" t="str">
        <x:v>2026-10-14</x:v>
      </x:c>
      <x:c r="N71" s="317" t="str">
        <x:v>Research tracking only; no national/Alliance approval</x:v>
      </x:c>
    </x:row>
    <x:row r="72" ht="74" customHeight="1">
      <x:c r="A72" s="316" t="str">
        <x:v>S67</x:v>
      </x:c>
      <x:c r="B72" s="317" t="str">
        <x:v>Redfish Resource and Schema Guide</x:v>
      </x:c>
      <x:c r="C72" s="317" t="str">
        <x:v>Not newly verified for this exact edition/artifact</x:v>
      </x:c>
      <x:c r="D72" s="317" t="str">
        <x:v>Not assigned</x:v>
      </x:c>
      <x:c r="E72" s="317" t="str">
        <x:v>Not assigned</x:v>
      </x:c>
      <x:c r="F72" s="317" t="str">
        <x:v>Original S25 baseline retained; new lookup not performed</x:v>
      </x:c>
      <x:c r="G72" s="317" t="str">
        <x:v>No current registry action: technical dependency/edition and implementation target must be selected first</x:v>
      </x:c>
      <x:c r="H72" s="317" t="str">
        <x:v>No exact current NATO adoption newly verified</x:v>
      </x:c>
      <x:c r="I72" s="317" t="str">
        <x:v>Power Source model and binding recommendation, 14 October 2026</x:v>
      </x:c>
      <x:c r="J72" s="317" t="str">
        <x:v>Coordinate applicable OGC/STANAG profile through custodian only after a real NATO requirement and exact edition decision</x:v>
      </x:c>
      <x:c r="K72" s="317" t="str">
        <x:v>Selected concrete dependency, scope, and authority approval—not citation alone</x:v>
      </x:c>
      <x:c r="L72" s="317" t="str">
        <x:v>https://www.dmtf.org/standards/redfish</x:v>
      </x:c>
      <x:c r="M72" s="317" t="str">
        <x:v>2026-10-14</x:v>
      </x:c>
      <x:c r="N72" s="317" t="str">
        <x:v>Research tracking only; no national/Alliance approval</x:v>
      </x:c>
    </x:row>
    <x:row r="73" ht="74" customHeight="1">
      <x:c r="A73" s="316" t="str">
        <x:v>S68</x:v>
      </x:c>
      <x:c r="B73" s="317" t="str">
        <x:v>Lightweight M2M Core Device Object appendix</x:v>
      </x:c>
      <x:c r="C73" s="317" t="str">
        <x:v>Not newly verified for this exact edition/artifact</x:v>
      </x:c>
      <x:c r="D73" s="317" t="str">
        <x:v>Not assigned</x:v>
      </x:c>
      <x:c r="E73" s="317" t="str">
        <x:v>Not assigned</x:v>
      </x:c>
      <x:c r="F73" s="317" t="str">
        <x:v>Original S25 baseline retained; new lookup not performed</x:v>
      </x:c>
      <x:c r="G73" s="317" t="str">
        <x:v>No current registry action: technical dependency/edition and implementation target must be selected first</x:v>
      </x:c>
      <x:c r="H73" s="317" t="str">
        <x:v>No exact current NATO adoption newly verified</x:v>
      </x:c>
      <x:c r="I73" s="317" t="str">
        <x:v>Power Source model and binding recommendation, 14 October 2026</x:v>
      </x:c>
      <x:c r="J73" s="317" t="str">
        <x:v>Coordinate applicable OGC/STANAG profile through custodian only after a real NATO requirement and exact edition decision</x:v>
      </x:c>
      <x:c r="K73" s="317" t="str">
        <x:v>Selected concrete dependency, scope, and authority approval—not citation alone</x:v>
      </x:c>
      <x:c r="L73" s="317" t="str">
        <x:v>https://www.openmobilealliance.org/release/LightweightM2M/V1_2_2-20240613-A/OMA-TS-LightweightM2M_Core-V1_2_2-20240613-A.pdf</x:v>
      </x:c>
      <x:c r="M73" s="317" t="str">
        <x:v>2026-10-14</x:v>
      </x:c>
      <x:c r="N73" s="317" t="str">
        <x:v>Research tracking only; no national/Alliance approval</x:v>
      </x:c>
    </x:row>
    <x:row r="74" ht="74" customHeight="1">
      <x:c r="A74" s="316" t="str">
        <x:v>S69</x:v>
      </x:c>
      <x:c r="B74" s="317" t="str">
        <x:v>IETF Intellectual Property Rights guidance</x:v>
      </x:c>
      <x:c r="C74" s="317" t="str">
        <x:v>Not newly verified for this exact edition/artifact</x:v>
      </x:c>
      <x:c r="D74" s="317" t="str">
        <x:v>Not assigned</x:v>
      </x:c>
      <x:c r="E74" s="317" t="str">
        <x:v>Not assigned</x:v>
      </x:c>
      <x:c r="F74" s="317" t="str">
        <x:v>Original S25 baseline retained; new lookup not performed</x:v>
      </x:c>
      <x:c r="G74" s="317" t="str">
        <x:v>No current registry action: technical dependency/edition and implementation target must be selected first</x:v>
      </x:c>
      <x:c r="H74" s="317" t="str">
        <x:v>No exact current NATO adoption newly verified</x:v>
      </x:c>
      <x:c r="I74" s="317" t="str">
        <x:v>Power Source model and binding recommendation, 14 October 2026</x:v>
      </x:c>
      <x:c r="J74" s="317" t="str">
        <x:v>Coordinate applicable OGC/STANAG profile through custodian only after a real NATO requirement and exact edition decision</x:v>
      </x:c>
      <x:c r="K74" s="317" t="str">
        <x:v>Selected concrete dependency, scope, and authority approval—not citation alone</x:v>
      </x:c>
      <x:c r="L74" s="317" t="str">
        <x:v>https://www.ietf.org/standards/ipr/</x:v>
      </x:c>
      <x:c r="M74" s="317" t="str">
        <x:v>2026-10-14</x:v>
      </x:c>
      <x:c r="N74" s="317" t="str">
        <x:v>Research tracking only; no national/Alliance approval</x:v>
      </x:c>
    </x:row>
    <x:row r="75" ht="74" customHeight="1">
      <x:c r="A75" s="316" t="str">
        <x:v>S70</x:v>
      </x:c>
      <x:c r="B75" s="317" t="str">
        <x:v>UCUM License</x:v>
      </x:c>
      <x:c r="C75" s="317" t="str">
        <x:v>No independent entry asserted in this reconciliation</x:v>
      </x:c>
      <x:c r="D75" s="317" t="str">
        <x:v>Not separately rechecked</x:v>
      </x:c>
      <x:c r="E75" s="317" t="str">
        <x:v>Not separately rechecked</x:v>
      </x:c>
      <x:c r="F75" s="317" t="str">
        <x:v>Foundational review made no new registry claims</x:v>
      </x:c>
      <x:c r="G75" s="317" t="str">
        <x:v>No current registry action: technical dependency/edition and implementation target must be selected first</x:v>
      </x:c>
      <x:c r="H75" s="317" t="str">
        <x:v>No exact current NATO adoption newly verified</x:v>
      </x:c>
      <x:c r="I75" s="317" t="str">
        <x:v>Power Source model and binding recommendation, 14 October 2026</x:v>
      </x:c>
      <x:c r="J75" s="317" t="str">
        <x:v>Coordinate applicable OGC/STANAG profile through custodian only after a real NATO requirement and exact edition decision</x:v>
      </x:c>
      <x:c r="K75" s="317" t="str">
        <x:v>Selected concrete dependency, scope, and authority approval—not citation alone</x:v>
      </x:c>
      <x:c r="L75" s="317" t="str">
        <x:v>https://ucum.org/license</x:v>
      </x:c>
      <x:c r="M75" s="317" t="str">
        <x:v>2026-10-14</x:v>
      </x:c>
      <x:c r="N75" s="317" t="str">
        <x:v>Research tracking only; no national/Alliance approval</x:v>
      </x:c>
    </x:row>
    <x:row r="76" ht="74" customHeight="1">
      <x:c r="A76" s="316" t="str">
        <x:v>S71</x:v>
      </x:c>
      <x:c r="B76" s="317" t="str">
        <x:v>IEEE 1451.0-2024 smart transducer common standard</x:v>
      </x:c>
      <x:c r="C76" s="317" t="str">
        <x:v>No exact edition in complete export (per IEEE study)</x:v>
      </x:c>
      <x:c r="D76" s="317" t="str">
        <x:v>No exact entry</x:v>
      </x:c>
      <x:c r="E76" s="317" t="str">
        <x:v>No separate IC entry</x:v>
      </x:c>
      <x:c r="F76" s="317" t="str">
        <x:v>IEEE public-source report; 10 Oct supplied complete export</x:v>
      </x:c>
      <x:c r="G76" s="317" t="str">
        <x:v>No current registry action: technical dependency/edition and implementation target must be selected first</x:v>
      </x:c>
      <x:c r="H76" s="317" t="str">
        <x:v>No exact current NATO adoption newly verified</x:v>
      </x:c>
      <x:c r="I76" s="317" t="str">
        <x:v>IEEE Pass 1A public-source technical reconstruction, 14 October 2026</x:v>
      </x:c>
      <x:c r="J76" s="317" t="str">
        <x:v>Coordinate applicable OGC/STANAG profile through custodian only after a real NATO requirement and exact edition decision</x:v>
      </x:c>
      <x:c r="K76" s="317" t="str">
        <x:v>Selected concrete dependency, scope, and authority approval—not citation alone</x:v>
      </x:c>
      <x:c r="L76" s="317" t="str">
        <x:v>https://standards.ieee.org/ieee/1451.0/11001/</x:v>
      </x:c>
      <x:c r="M76" s="317" t="str">
        <x:v>2026-10-14</x:v>
      </x:c>
      <x:c r="N76" s="317" t="str">
        <x:v>Research tracking only; no national/Alliance approval</x:v>
      </x:c>
    </x:row>
    <x:row r="77" ht="74" customHeight="1">
      <x:c r="A77" s="316" t="str">
        <x:v>S72</x:v>
      </x:c>
      <x:c r="B77" s="317" t="str">
        <x:v>ISO/IEC/IEEE 21450:2010 smart transducer common functions</x:v>
      </x:c>
      <x:c r="C77" s="317" t="str">
        <x:v>Recorded exact current DISR entry</x:v>
      </x:c>
      <x:c r="D77" s="317" t="str">
        <x:v>Emerging</x:v>
      </x:c>
      <x:c r="E77" s="317" t="str">
        <x:v>IC-Emerging</x:v>
      </x:c>
      <x:c r="F77" s="317" t="str">
        <x:v>IEEE study focused extract + authoritative 10 Oct 2026 CSV</x:v>
      </x:c>
      <x:c r="G77" s="317" t="str">
        <x:v>No current registry action: technical dependency/edition and implementation target must be selected first</x:v>
      </x:c>
      <x:c r="H77" s="317" t="str">
        <x:v>No exact current NATO adoption newly verified</x:v>
      </x:c>
      <x:c r="I77" s="317" t="str">
        <x:v>IEEE Pass 1A public-source technical reconstruction, 14 October 2026</x:v>
      </x:c>
      <x:c r="J77" s="317" t="str">
        <x:v>Coordinate applicable OGC/STANAG profile through custodian only after a real NATO requirement and exact edition decision</x:v>
      </x:c>
      <x:c r="K77" s="317" t="str">
        <x:v>Selected concrete dependency, scope, and authority approval—not citation alone</x:v>
      </x:c>
      <x:c r="L77" s="317" t="str">
        <x:v>https://www.iso.org/standard/54356.html</x:v>
      </x:c>
      <x:c r="M77" s="317" t="str">
        <x:v>2026-10-14</x:v>
      </x:c>
      <x:c r="N77" s="317" t="str">
        <x:v>Research tracking only; no national/Alliance approval</x:v>
      </x:c>
    </x:row>
    <x:row r="78" ht="74" customHeight="1">
      <x:c r="A78" s="316" t="str">
        <x:v>S73</x:v>
      </x:c>
      <x:c r="B78" s="317" t="str">
        <x:v>ISO/IEC/IEEE 21451-1:2010 NCAP information model</x:v>
      </x:c>
      <x:c r="C78" s="317" t="str">
        <x:v>Recorded exact current DISR entry</x:v>
      </x:c>
      <x:c r="D78" s="317" t="str">
        <x:v>Emerging</x:v>
      </x:c>
      <x:c r="E78" s="317" t="str">
        <x:v>IC-Emerging</x:v>
      </x:c>
      <x:c r="F78" s="317" t="str">
        <x:v>IEEE study focused extract + authoritative 10 Oct 2026 CSV</x:v>
      </x:c>
      <x:c r="G78" s="317" t="str">
        <x:v>No current registry action: technical dependency/edition and implementation target must be selected first</x:v>
      </x:c>
      <x:c r="H78" s="317" t="str">
        <x:v>No exact current NATO adoption newly verified</x:v>
      </x:c>
      <x:c r="I78" s="317" t="str">
        <x:v>IEEE Pass 1A public-source technical reconstruction, 14 October 2026</x:v>
      </x:c>
      <x:c r="J78" s="317" t="str">
        <x:v>Coordinate applicable OGC/STANAG profile through custodian only after a real NATO requirement and exact edition decision</x:v>
      </x:c>
      <x:c r="K78" s="317" t="str">
        <x:v>Selected concrete dependency, scope, and authority approval—not citation alone</x:v>
      </x:c>
      <x:c r="L78" s="317" t="str">
        <x:v>https://www.iso.org/standard/54357.html</x:v>
      </x:c>
      <x:c r="M78" s="317" t="str">
        <x:v>2026-10-14</x:v>
      </x:c>
      <x:c r="N78" s="317" t="str">
        <x:v>Research tracking only; no national/Alliance approval</x:v>
      </x:c>
    </x:row>
    <x:row r="79" ht="74" customHeight="1">
      <x:c r="A79" s="316" t="str">
        <x:v>S74</x:v>
      </x:c>
      <x:c r="B79" s="317" t="str">
        <x:v>ISO/IEC/IEEE 21451-2:2010 digital transducer interface and TEDS</x:v>
      </x:c>
      <x:c r="C79" s="317" t="str">
        <x:v>Recorded exact current DISR entry</x:v>
      </x:c>
      <x:c r="D79" s="317" t="str">
        <x:v>Emerging</x:v>
      </x:c>
      <x:c r="E79" s="317" t="str">
        <x:v>IC-Emerging</x:v>
      </x:c>
      <x:c r="F79" s="317" t="str">
        <x:v>IEEE study focused extract + authoritative 10 Oct 2026 CSV</x:v>
      </x:c>
      <x:c r="G79" s="317" t="str">
        <x:v>No current registry action: technical dependency/edition and implementation target must be selected first</x:v>
      </x:c>
      <x:c r="H79" s="317" t="str">
        <x:v>No exact current NATO adoption newly verified</x:v>
      </x:c>
      <x:c r="I79" s="317" t="str">
        <x:v>IEEE Pass 1A public-source technical reconstruction, 14 October 2026</x:v>
      </x:c>
      <x:c r="J79" s="317" t="str">
        <x:v>Coordinate applicable OGC/STANAG profile through custodian only after a real NATO requirement and exact edition decision</x:v>
      </x:c>
      <x:c r="K79" s="317" t="str">
        <x:v>Selected concrete dependency, scope, and authority approval—not citation alone</x:v>
      </x:c>
      <x:c r="L79" s="317" t="str">
        <x:v>https://www.iso.org/standard/54367.html</x:v>
      </x:c>
      <x:c r="M79" s="317" t="str">
        <x:v>2026-10-14</x:v>
      </x:c>
      <x:c r="N79" s="317" t="str">
        <x:v>Research tracking only; no national/Alliance approval</x:v>
      </x:c>
    </x:row>
    <x:row r="80" ht="74" customHeight="1">
      <x:c r="A80" s="316" t="str">
        <x:v>S75</x:v>
      </x:c>
      <x:c r="B80" s="317" t="str">
        <x:v>ISO/IEC/IEEE 21451-4:2010 mixed-mode interface and TEDS</x:v>
      </x:c>
      <x:c r="C80" s="317" t="str">
        <x:v>Recorded exact current DISR entry</x:v>
      </x:c>
      <x:c r="D80" s="317" t="str">
        <x:v>Emerging</x:v>
      </x:c>
      <x:c r="E80" s="317" t="str">
        <x:v>IC-Emerging</x:v>
      </x:c>
      <x:c r="F80" s="317" t="str">
        <x:v>IEEE study focused extract + authoritative 10 Oct 2026 CSV</x:v>
      </x:c>
      <x:c r="G80" s="317" t="str">
        <x:v>No current registry action: technical dependency/edition and implementation target must be selected first</x:v>
      </x:c>
      <x:c r="H80" s="317" t="str">
        <x:v>No exact current NATO adoption newly verified</x:v>
      </x:c>
      <x:c r="I80" s="317" t="str">
        <x:v>IEEE Pass 1A public-source technical reconstruction, 14 October 2026</x:v>
      </x:c>
      <x:c r="J80" s="317" t="str">
        <x:v>Coordinate applicable OGC/STANAG profile through custodian only after a real NATO requirement and exact edition decision</x:v>
      </x:c>
      <x:c r="K80" s="317" t="str">
        <x:v>Selected concrete dependency, scope, and authority approval—not citation alone</x:v>
      </x:c>
      <x:c r="L80" s="317" t="str">
        <x:v>https://www.iso.org/standard/54368.html</x:v>
      </x:c>
      <x:c r="M80" s="317" t="str">
        <x:v>2026-10-14</x:v>
      </x:c>
      <x:c r="N80" s="317" t="str">
        <x:v>Research tracking only; no national/Alliance approval</x:v>
      </x:c>
    </x:row>
    <x:row r="81" ht="74" customHeight="1">
      <x:c r="A81" s="316" t="str">
        <x:v>S76</x:v>
      </x:c>
      <x:c r="B81" s="317" t="str">
        <x:v>IEEE 1451.1.6 MQTT extension</x:v>
      </x:c>
      <x:c r="C81" s="317" t="str">
        <x:v>No matching entry reported (per IEEE study)</x:v>
      </x:c>
      <x:c r="D81" s="317" t="str">
        <x:v>No matching exact entry</x:v>
      </x:c>
      <x:c r="E81" s="317" t="str">
        <x:v>No separate IC entry</x:v>
      </x:c>
      <x:c r="F81" s="317" t="str">
        <x:v>IEEE public-source report; 10 Oct supplied complete export</x:v>
      </x:c>
      <x:c r="G81" s="317" t="str">
        <x:v>No current registry action: technical dependency/edition and implementation target must be selected first</x:v>
      </x:c>
      <x:c r="H81" s="317" t="str">
        <x:v>No exact current NATO adoption newly verified</x:v>
      </x:c>
      <x:c r="I81" s="317" t="str">
        <x:v>IEEE Pass 1A public-source technical reconstruction, 14 October 2026</x:v>
      </x:c>
      <x:c r="J81" s="317" t="str">
        <x:v>Coordinate applicable OGC/STANAG profile through custodian only after a real NATO requirement and exact edition decision</x:v>
      </x:c>
      <x:c r="K81" s="317" t="str">
        <x:v>Selected concrete dependency, scope, and authority approval—not citation alone</x:v>
      </x:c>
      <x:c r="L81" s="317" t="str">
        <x:v>https://standards.ieee.org/ieee/1451.1.6/11619/</x:v>
      </x:c>
      <x:c r="M81" s="317" t="str">
        <x:v>2026-10-14</x:v>
      </x:c>
      <x:c r="N81" s="317" t="str">
        <x:v>Research tracking only; no national/Alliance approval</x:v>
      </x:c>
    </x:row>
    <x:row r="82" ht="74" customHeight="1">
      <x:c r="A82" s="316" t="str">
        <x:v>S77</x:v>
      </x:c>
      <x:c r="B82" s="317" t="str">
        <x:v>IEEE 1451 Playground Meta TEDS</x:v>
      </x:c>
      <x:c r="C82" s="317" t="str">
        <x:v>Not newly verified for this exact edition/artifact</x:v>
      </x:c>
      <x:c r="D82" s="317" t="str">
        <x:v>Not assigned</x:v>
      </x:c>
      <x:c r="E82" s="317" t="str">
        <x:v>Not assigned</x:v>
      </x:c>
      <x:c r="F82" s="317" t="str">
        <x:v>Original S25 baseline retained; new lookup not performed</x:v>
      </x:c>
      <x:c r="G82" s="317" t="str">
        <x:v>No current registry action: technical dependency/edition and implementation target must be selected first</x:v>
      </x:c>
      <x:c r="H82" s="317" t="str">
        <x:v>No exact current NATO adoption newly verified</x:v>
      </x:c>
      <x:c r="I82" s="317" t="str">
        <x:v>IEEE Pass 1A public-source technical reconstruction, 14 October 2026</x:v>
      </x:c>
      <x:c r="J82" s="317" t="str">
        <x:v>Coordinate applicable OGC/STANAG profile through custodian only after a real NATO requirement and exact edition decision</x:v>
      </x:c>
      <x:c r="K82" s="317" t="str">
        <x:v>Selected concrete dependency, scope, and authority approval—not citation alone</x:v>
      </x:c>
      <x:c r="L82" s="317" t="str">
        <x:v>https://iml.ubi.pt/playground/docs/ieee1451/teds/meta-teds/</x:v>
      </x:c>
      <x:c r="M82" s="317" t="str">
        <x:v>2026-10-14</x:v>
      </x:c>
      <x:c r="N82" s="317" t="str">
        <x:v>Research tracking only; no national/Alliance approval</x:v>
      </x:c>
    </x:row>
    <x:row r="83" ht="74" customHeight="1">
      <x:c r="A83" s="316" t="str">
        <x:v>S78</x:v>
      </x:c>
      <x:c r="B83" s="317" t="str">
        <x:v>IEEE 1451 Playground TransducerChannel TEDS</x:v>
      </x:c>
      <x:c r="C83" s="317" t="str">
        <x:v>Not newly verified for this exact edition/artifact</x:v>
      </x:c>
      <x:c r="D83" s="317" t="str">
        <x:v>Not assigned</x:v>
      </x:c>
      <x:c r="E83" s="317" t="str">
        <x:v>Not assigned</x:v>
      </x:c>
      <x:c r="F83" s="317" t="str">
        <x:v>Original S25 baseline retained; new lookup not performed</x:v>
      </x:c>
      <x:c r="G83" s="317" t="str">
        <x:v>No current registry action: technical dependency/edition and implementation target must be selected first</x:v>
      </x:c>
      <x:c r="H83" s="317" t="str">
        <x:v>No exact current NATO adoption newly verified</x:v>
      </x:c>
      <x:c r="I83" s="317" t="str">
        <x:v>IEEE Pass 1A public-source technical reconstruction, 14 October 2026</x:v>
      </x:c>
      <x:c r="J83" s="317" t="str">
        <x:v>Coordinate applicable OGC/STANAG profile through custodian only after a real NATO requirement and exact edition decision</x:v>
      </x:c>
      <x:c r="K83" s="317" t="str">
        <x:v>Selected concrete dependency, scope, and authority approval—not citation alone</x:v>
      </x:c>
      <x:c r="L83" s="317" t="str">
        <x:v>https://iml.ubi.pt/playground/docs/ieee1451/teds/transducer-channel-teds/</x:v>
      </x:c>
      <x:c r="M83" s="317" t="str">
        <x:v>2026-10-14</x:v>
      </x:c>
      <x:c r="N83" s="317" t="str">
        <x:v>Research tracking only; no national/Alliance approval</x:v>
      </x:c>
    </x:row>
    <x:row r="84" ht="74" customHeight="1">
      <x:c r="A84" s="316" t="str">
        <x:v>S79</x:v>
      </x:c>
      <x:c r="B84" s="317" t="str">
        <x:v>IEEE 1451 Playground Optional TEDS</x:v>
      </x:c>
      <x:c r="C84" s="317" t="str">
        <x:v>Not newly verified for this exact edition/artifact</x:v>
      </x:c>
      <x:c r="D84" s="317" t="str">
        <x:v>Not assigned</x:v>
      </x:c>
      <x:c r="E84" s="317" t="str">
        <x:v>Not assigned</x:v>
      </x:c>
      <x:c r="F84" s="317" t="str">
        <x:v>Original S25 baseline retained; new lookup not performed</x:v>
      </x:c>
      <x:c r="G84" s="317" t="str">
        <x:v>No current registry action: technical dependency/edition and implementation target must be selected first</x:v>
      </x:c>
      <x:c r="H84" s="317" t="str">
        <x:v>No exact current NATO adoption newly verified</x:v>
      </x:c>
      <x:c r="I84" s="317" t="str">
        <x:v>IEEE Pass 1A public-source technical reconstruction, 14 October 2026</x:v>
      </x:c>
      <x:c r="J84" s="317" t="str">
        <x:v>Coordinate applicable OGC/STANAG profile through custodian only after a real NATO requirement and exact edition decision</x:v>
      </x:c>
      <x:c r="K84" s="317" t="str">
        <x:v>Selected concrete dependency, scope, and authority approval—not citation alone</x:v>
      </x:c>
      <x:c r="L84" s="317" t="str">
        <x:v>https://iml.ubi.pt/playground/docs/ieee1451/teds/optional-teds/</x:v>
      </x:c>
      <x:c r="M84" s="317" t="str">
        <x:v>2026-10-14</x:v>
      </x:c>
      <x:c r="N84" s="317" t="str">
        <x:v>Research tracking only; no national/Alliance approval</x:v>
      </x:c>
    </x:row>
    <x:row r="85" ht="74" customHeight="1">
      <x:c r="A85" s="316" t="str">
        <x:v>S80</x:v>
      </x:c>
      <x:c r="B85" s="317" t="str">
        <x:v>IEEE 1451 Playground PHY TEDS</x:v>
      </x:c>
      <x:c r="C85" s="317" t="str">
        <x:v>Not newly verified for this exact edition/artifact</x:v>
      </x:c>
      <x:c r="D85" s="317" t="str">
        <x:v>Not assigned</x:v>
      </x:c>
      <x:c r="E85" s="317" t="str">
        <x:v>Not assigned</x:v>
      </x:c>
      <x:c r="F85" s="317" t="str">
        <x:v>Original S25 baseline retained; new lookup not performed</x:v>
      </x:c>
      <x:c r="G85" s="317" t="str">
        <x:v>No current registry action: technical dependency/edition and implementation target must be selected first</x:v>
      </x:c>
      <x:c r="H85" s="317" t="str">
        <x:v>No exact current NATO adoption newly verified</x:v>
      </x:c>
      <x:c r="I85" s="317" t="str">
        <x:v>IEEE Pass 1A public-source technical reconstruction, 14 October 2026</x:v>
      </x:c>
      <x:c r="J85" s="317" t="str">
        <x:v>Coordinate applicable OGC/STANAG profile through custodian only after a real NATO requirement and exact edition decision</x:v>
      </x:c>
      <x:c r="K85" s="317" t="str">
        <x:v>Selected concrete dependency, scope, and authority approval—not citation alone</x:v>
      </x:c>
      <x:c r="L85" s="317" t="str">
        <x:v>https://iml.ubi.pt/playground/docs/ieee1451/teds/phy-teds/</x:v>
      </x:c>
      <x:c r="M85" s="317" t="str">
        <x:v>2026-10-14</x:v>
      </x:c>
      <x:c r="N85" s="317" t="str">
        <x:v>Research tracking only; no national/Alliance approval</x:v>
      </x:c>
    </x:row>
    <x:row r="86" ht="74" customHeight="1">
      <x:c r="A86" s="316" t="str">
        <x:v>S81</x:v>
      </x:c>
      <x:c r="B86" s="317" t="str">
        <x:v>NIST announcement of IEEE 1451.0-2024</x:v>
      </x:c>
      <x:c r="C86" s="317" t="str">
        <x:v>Not newly verified for this exact edition/artifact</x:v>
      </x:c>
      <x:c r="D86" s="317" t="str">
        <x:v>Not assigned</x:v>
      </x:c>
      <x:c r="E86" s="317" t="str">
        <x:v>Not assigned</x:v>
      </x:c>
      <x:c r="F86" s="317" t="str">
        <x:v>Original S25 baseline retained; new lookup not performed</x:v>
      </x:c>
      <x:c r="G86" s="317" t="str">
        <x:v>No current registry action: technical dependency/edition and implementation target must be selected first</x:v>
      </x:c>
      <x:c r="H86" s="317" t="str">
        <x:v>No exact current NATO adoption newly verified</x:v>
      </x:c>
      <x:c r="I86" s="317" t="str">
        <x:v>IEEE Pass 1A public-source technical reconstruction, 14 October 2026</x:v>
      </x:c>
      <x:c r="J86" s="317" t="str">
        <x:v>Coordinate applicable OGC/STANAG profile through custodian only after a real NATO requirement and exact edition decision</x:v>
      </x:c>
      <x:c r="K86" s="317" t="str">
        <x:v>Selected concrete dependency, scope, and authority approval—not citation alone</x:v>
      </x:c>
      <x:c r="L86" s="317" t="str">
        <x:v>https://www.nist.gov/news-events/news/2024/07/ieee-14510-2024-standard-published-under-leadership-nist-researchers</x:v>
      </x:c>
      <x:c r="M86" s="317" t="str">
        <x:v>2026-10-14</x:v>
      </x:c>
      <x:c r="N86" s="317" t="str">
        <x:v>Research tracking only; no national/Alliance approval</x:v>
      </x:c>
    </x:row>
    <x:row r="87" ht="74" customHeight="1">
      <x:c r="A87" s="316" t="str">
        <x:v>S82</x:v>
      </x:c>
      <x:c r="B87" s="317" t="str">
        <x:v>NIST announcement of IEEE 1451 Playground</x:v>
      </x:c>
      <x:c r="C87" s="317" t="str">
        <x:v>Not newly verified for this exact edition/artifact</x:v>
      </x:c>
      <x:c r="D87" s="317" t="str">
        <x:v>Not assigned</x:v>
      </x:c>
      <x:c r="E87" s="317" t="str">
        <x:v>Not assigned</x:v>
      </x:c>
      <x:c r="F87" s="317" t="str">
        <x:v>Original S25 baseline retained; new lookup not performed</x:v>
      </x:c>
      <x:c r="G87" s="317" t="str">
        <x:v>No current registry action: technical dependency/edition and implementation target must be selected first</x:v>
      </x:c>
      <x:c r="H87" s="317" t="str">
        <x:v>No exact current NATO adoption newly verified</x:v>
      </x:c>
      <x:c r="I87" s="317" t="str">
        <x:v>IEEE Pass 1A public-source technical reconstruction, 14 October 2026</x:v>
      </x:c>
      <x:c r="J87" s="317" t="str">
        <x:v>Coordinate applicable OGC/STANAG profile through custodian only after a real NATO requirement and exact edition decision</x:v>
      </x:c>
      <x:c r="K87" s="317" t="str">
        <x:v>Selected concrete dependency, scope, and authority approval—not citation alone</x:v>
      </x:c>
      <x:c r="L87" s="317" t="str">
        <x:v>https://www.nist.gov/news-events/news/2024/12/nist-and-university-researchers-present-online-tool-support-ieee-standards</x:v>
      </x:c>
      <x:c r="M87" s="317" t="str">
        <x:v>2026-10-14</x:v>
      </x:c>
      <x:c r="N87" s="317" t="str">
        <x:v>Research tracking only; no national/Alliance approval</x:v>
      </x:c>
    </x:row>
    <x:row r="88" ht="74" customHeight="1">
      <x:c r="A88" s="316" t="str">
        <x:v>S83</x:v>
      </x:c>
      <x:c r="B88" s="317" t="str">
        <x:v>IEEE 1451.0-based WoT ontology paper</x:v>
      </x:c>
      <x:c r="C88" s="317" t="str">
        <x:v>Not newly verified for this exact edition/artifact</x:v>
      </x:c>
      <x:c r="D88" s="317" t="str">
        <x:v>Not assigned</x:v>
      </x:c>
      <x:c r="E88" s="317" t="str">
        <x:v>Not assigned</x:v>
      </x:c>
      <x:c r="F88" s="317" t="str">
        <x:v>Original S25 baseline retained; new lookup not performed</x:v>
      </x:c>
      <x:c r="G88" s="317" t="str">
        <x:v>No current registry action: technical dependency/edition and implementation target must be selected first</x:v>
      </x:c>
      <x:c r="H88" s="317" t="str">
        <x:v>No exact current NATO adoption newly verified</x:v>
      </x:c>
      <x:c r="I88" s="317" t="str">
        <x:v>IEEE Pass 1A public-source technical reconstruction, 14 October 2026</x:v>
      </x:c>
      <x:c r="J88" s="317" t="str">
        <x:v>Coordinate applicable OGC/STANAG profile through custodian only after a real NATO requirement and exact edition decision</x:v>
      </x:c>
      <x:c r="K88" s="317" t="str">
        <x:v>Selected concrete dependency, scope, and authority approval—not citation alone</x:v>
      </x:c>
      <x:c r="L88" s="317" t="str">
        <x:v>https://www.nist.gov/publications/ieee-14510-based-web-thing-wot-ontology</x:v>
      </x:c>
      <x:c r="M88" s="317" t="str">
        <x:v>2026-10-14</x:v>
      </x:c>
      <x:c r="N88" s="317" t="str">
        <x:v>Research tracking only; no national/Alliance approval</x:v>
      </x:c>
    </x:row>
    <x:row r="89" ht="74" customHeight="1">
      <x:c r="A89" s="316" t="str">
        <x:v>S84</x:v>
      </x:c>
      <x:c r="B89" s="317" t="str">
        <x:v>A Unifying Standard for Interfacing Transducers to Networks</x:v>
      </x:c>
      <x:c r="C89" s="317" t="str">
        <x:v>Not newly verified for this exact edition/artifact</x:v>
      </x:c>
      <x:c r="D89" s="317" t="str">
        <x:v>Not assigned</x:v>
      </x:c>
      <x:c r="E89" s="317" t="str">
        <x:v>Not assigned</x:v>
      </x:c>
      <x:c r="F89" s="317" t="str">
        <x:v>Original S25 baseline retained; new lookup not performed</x:v>
      </x:c>
      <x:c r="G89" s="317" t="str">
        <x:v>No current registry action: technical dependency/edition and implementation target must be selected first</x:v>
      </x:c>
      <x:c r="H89" s="317" t="str">
        <x:v>No exact current NATO adoption newly verified</x:v>
      </x:c>
      <x:c r="I89" s="317" t="str">
        <x:v>IEEE Pass 1A public-source technical reconstruction, 14 October 2026</x:v>
      </x:c>
      <x:c r="J89" s="317" t="str">
        <x:v>Coordinate applicable OGC/STANAG profile through custodian only after a real NATO requirement and exact edition decision</x:v>
      </x:c>
      <x:c r="K89" s="317" t="str">
        <x:v>Selected concrete dependency, scope, and authority approval—not citation alone</x:v>
      </x:c>
      <x:c r="L89" s="317" t="str">
        <x:v>https://www.nist.gov/publications/unifying-standard-interfacing-transducers-networks-ieee-14510</x:v>
      </x:c>
      <x:c r="M89" s="317" t="str">
        <x:v>2026-10-14</x:v>
      </x:c>
      <x:c r="N89" s="317" t="str">
        <x:v>Research tracking only; no national/Alliance approval</x:v>
      </x:c>
    </x:row>
    <x:row r="90" ht="74" customHeight="1">
      <x:c r="A90" s="316" t="str">
        <x:v>S85</x:v>
      </x:c>
      <x:c r="B90" s="317" t="str">
        <x:v>ISA White Paper 6.0</x:v>
      </x:c>
      <x:c r="C90" s="317" t="str">
        <x:v>Not newly verified for this exact edition/artifact</x:v>
      </x:c>
      <x:c r="D90" s="317" t="str">
        <x:v>Not assigned</x:v>
      </x:c>
      <x:c r="E90" s="317" t="str">
        <x:v>Not assigned</x:v>
      </x:c>
      <x:c r="F90" s="317" t="str">
        <x:v>Original S25 baseline retained; new lookup not performed</x:v>
      </x:c>
      <x:c r="G90" s="317" t="str">
        <x:v>No current registry action: technical dependency/edition and implementation target must be selected first</x:v>
      </x:c>
      <x:c r="H90" s="317" t="str">
        <x:v>No exact current NATO adoption newly verified</x:v>
      </x:c>
      <x:c r="I90" s="317" t="str">
        <x:v>ISA Phase 1 + Phase 2 reports; eleven user-supplied 6.0 PDFs</x:v>
      </x:c>
      <x:c r="J90" s="317" t="str">
        <x:v>Coordinate applicable OGC/STANAG profile through custodian only after a real NATO requirement and exact edition decision</x:v>
      </x:c>
      <x:c r="K90" s="317" t="str">
        <x:v>Selected concrete dependency, scope, and authority approval—not citation alone</x:v>
      </x:c>
      <x:c r="L90" s="317" t="str">
        <x:v>local:ISA_White_Paper-6.0r2.pdf</x:v>
      </x:c>
      <x:c r="M90" s="317" t="str">
        <x:v>2026-10-14</x:v>
      </x:c>
      <x:c r="N90" s="317" t="str">
        <x:v>Research tracking only; no national/Alliance approval</x:v>
      </x:c>
    </x:row>
    <x:row r="91" ht="74" customHeight="1">
      <x:c r="A91" s="316" t="str">
        <x:v>S86</x:v>
      </x:c>
      <x:c r="B91" s="317" t="str">
        <x:v>ISA Software Design Document 6.0</x:v>
      </x:c>
      <x:c r="C91" s="317" t="str">
        <x:v>Not newly verified for this exact edition/artifact</x:v>
      </x:c>
      <x:c r="D91" s="317" t="str">
        <x:v>Not assigned</x:v>
      </x:c>
      <x:c r="E91" s="317" t="str">
        <x:v>Not assigned</x:v>
      </x:c>
      <x:c r="F91" s="317" t="str">
        <x:v>Original S25 baseline retained; new lookup not performed</x:v>
      </x:c>
      <x:c r="G91" s="317" t="str">
        <x:v>No current registry action: technical dependency/edition and implementation target must be selected first</x:v>
      </x:c>
      <x:c r="H91" s="317" t="str">
        <x:v>No exact current NATO adoption newly verified</x:v>
      </x:c>
      <x:c r="I91" s="317" t="str">
        <x:v>ISA Phase 1 + Phase 2 reports; eleven user-supplied 6.0 PDFs</x:v>
      </x:c>
      <x:c r="J91" s="317" t="str">
        <x:v>Coordinate applicable OGC/STANAG profile through custodian only after a real NATO requirement and exact edition decision</x:v>
      </x:c>
      <x:c r="K91" s="317" t="str">
        <x:v>Selected concrete dependency, scope, and authority approval—not citation alone</x:v>
      </x:c>
      <x:c r="L91" s="317" t="str">
        <x:v>local:ISA_Software_Design_Document-6.0r5.pdf</x:v>
      </x:c>
      <x:c r="M91" s="317" t="str">
        <x:v>2026-10-14</x:v>
      </x:c>
      <x:c r="N91" s="317" t="str">
        <x:v>Research tracking only; no national/Alliance approval</x:v>
      </x:c>
    </x:row>
    <x:row r="92" ht="74" customHeight="1">
      <x:c r="A92" s="316" t="str">
        <x:v>S87</x:v>
      </x:c>
      <x:c r="B92" s="317" t="str">
        <x:v>ISA Data Model Specification 6.0</x:v>
      </x:c>
      <x:c r="C92" s="317" t="str">
        <x:v>Not newly verified for this exact edition/artifact</x:v>
      </x:c>
      <x:c r="D92" s="317" t="str">
        <x:v>Not assigned</x:v>
      </x:c>
      <x:c r="E92" s="317" t="str">
        <x:v>Not assigned</x:v>
      </x:c>
      <x:c r="F92" s="317" t="str">
        <x:v>Original S25 baseline retained; new lookup not performed</x:v>
      </x:c>
      <x:c r="G92" s="317" t="str">
        <x:v>No current registry action: technical dependency/edition and implementation target must be selected first</x:v>
      </x:c>
      <x:c r="H92" s="317" t="str">
        <x:v>No exact current NATO adoption newly verified</x:v>
      </x:c>
      <x:c r="I92" s="317" t="str">
        <x:v>ISA Phase 1 + Phase 2 reports; eleven user-supplied 6.0 PDFs</x:v>
      </x:c>
      <x:c r="J92" s="317" t="str">
        <x:v>Coordinate applicable OGC/STANAG profile through custodian only after a real NATO requirement and exact edition decision</x:v>
      </x:c>
      <x:c r="K92" s="317" t="str">
        <x:v>Selected concrete dependency, scope, and authority approval—not citation alone</x:v>
      </x:c>
      <x:c r="L92" s="317" t="str">
        <x:v>local:ISA_Data_Model_Specification-6.0r12.pdf</x:v>
      </x:c>
      <x:c r="M92" s="317" t="str">
        <x:v>2026-10-14</x:v>
      </x:c>
      <x:c r="N92" s="317" t="str">
        <x:v>Research tracking only; no national/Alliance approval</x:v>
      </x:c>
    </x:row>
    <x:row r="93" ht="74" customHeight="1">
      <x:c r="A93" s="316" t="str">
        <x:v>S88</x:v>
      </x:c>
      <x:c r="B93" s="317" t="str">
        <x:v>ISA Component Requirements 6.0</x:v>
      </x:c>
      <x:c r="C93" s="317" t="str">
        <x:v>Not newly verified for this exact edition/artifact</x:v>
      </x:c>
      <x:c r="D93" s="317" t="str">
        <x:v>Not assigned</x:v>
      </x:c>
      <x:c r="E93" s="317" t="str">
        <x:v>Not assigned</x:v>
      </x:c>
      <x:c r="F93" s="317" t="str">
        <x:v>Original S25 baseline retained; new lookup not performed</x:v>
      </x:c>
      <x:c r="G93" s="317" t="str">
        <x:v>No current registry action: technical dependency/edition and implementation target must be selected first</x:v>
      </x:c>
      <x:c r="H93" s="317" t="str">
        <x:v>No exact current NATO adoption newly verified</x:v>
      </x:c>
      <x:c r="I93" s="317" t="str">
        <x:v>ISA Phase 1 + Phase 2 reports; eleven user-supplied 6.0 PDFs</x:v>
      </x:c>
      <x:c r="J93" s="317" t="str">
        <x:v>Coordinate applicable OGC/STANAG profile through custodian only after a real NATO requirement and exact edition decision</x:v>
      </x:c>
      <x:c r="K93" s="317" t="str">
        <x:v>Selected concrete dependency, scope, and authority approval—not citation alone</x:v>
      </x:c>
      <x:c r="L93" s="317" t="str">
        <x:v>local:ISA_Component_Requirements-6.0r4.pdf</x:v>
      </x:c>
      <x:c r="M93" s="317" t="str">
        <x:v>2026-10-14</x:v>
      </x:c>
      <x:c r="N93" s="317" t="str">
        <x:v>Research tracking only; no national/Alliance approval</x:v>
      </x:c>
    </x:row>
    <x:row r="94" ht="74" customHeight="1">
      <x:c r="A94" s="316" t="str">
        <x:v>S89</x:v>
      </x:c>
      <x:c r="B94" s="317" t="str">
        <x:v>ISA Interface Control Document 6.0</x:v>
      </x:c>
      <x:c r="C94" s="317" t="str">
        <x:v>Not newly verified for this exact edition/artifact</x:v>
      </x:c>
      <x:c r="D94" s="317" t="str">
        <x:v>Not assigned</x:v>
      </x:c>
      <x:c r="E94" s="317" t="str">
        <x:v>Not assigned</x:v>
      </x:c>
      <x:c r="F94" s="317" t="str">
        <x:v>Original S25 baseline retained; new lookup not performed</x:v>
      </x:c>
      <x:c r="G94" s="317" t="str">
        <x:v>No current registry action: technical dependency/edition and implementation target must be selected first</x:v>
      </x:c>
      <x:c r="H94" s="317" t="str">
        <x:v>No exact current NATO adoption newly verified</x:v>
      </x:c>
      <x:c r="I94" s="317" t="str">
        <x:v>ISA Phase 1 + Phase 2 reports; eleven user-supplied 6.0 PDFs</x:v>
      </x:c>
      <x:c r="J94" s="317" t="str">
        <x:v>Coordinate applicable OGC/STANAG profile through custodian only after a real NATO requirement and exact edition decision</x:v>
      </x:c>
      <x:c r="K94" s="317" t="str">
        <x:v>Selected concrete dependency, scope, and authority approval—not citation alone</x:v>
      </x:c>
      <x:c r="L94" s="317" t="str">
        <x:v>local:ISA_Interface_Control_Document-6.0r5.pdf</x:v>
      </x:c>
      <x:c r="M94" s="317" t="str">
        <x:v>2026-10-14</x:v>
      </x:c>
      <x:c r="N94" s="317" t="str">
        <x:v>Research tracking only; no national/Alliance approval</x:v>
      </x:c>
    </x:row>
    <x:row r="95" ht="74" customHeight="1">
      <x:c r="A95" s="316" t="str">
        <x:v>S90</x:v>
      </x:c>
      <x:c r="B95" s="317" t="str">
        <x:v>ISA Data Model Topics 6.0</x:v>
      </x:c>
      <x:c r="C95" s="317" t="str">
        <x:v>Not newly verified for this exact edition/artifact</x:v>
      </x:c>
      <x:c r="D95" s="317" t="str">
        <x:v>Not assigned</x:v>
      </x:c>
      <x:c r="E95" s="317" t="str">
        <x:v>Not assigned</x:v>
      </x:c>
      <x:c r="F95" s="317" t="str">
        <x:v>Original S25 baseline retained; new lookup not performed</x:v>
      </x:c>
      <x:c r="G95" s="317" t="str">
        <x:v>No current registry action: technical dependency/edition and implementation target must be selected first</x:v>
      </x:c>
      <x:c r="H95" s="317" t="str">
        <x:v>No exact current NATO adoption newly verified</x:v>
      </x:c>
      <x:c r="I95" s="317" t="str">
        <x:v>ISA Phase 1 + Phase 2 reports; eleven user-supplied 6.0 PDFs</x:v>
      </x:c>
      <x:c r="J95" s="317" t="str">
        <x:v>Coordinate applicable OGC/STANAG profile through custodian only after a real NATO requirement and exact edition decision</x:v>
      </x:c>
      <x:c r="K95" s="317" t="str">
        <x:v>Selected concrete dependency, scope, and authority approval—not citation alone</x:v>
      </x:c>
      <x:c r="L95" s="317" t="str">
        <x:v>local:ISA_Data_Model_Topics-6.0r2.pdf</x:v>
      </x:c>
      <x:c r="M95" s="317" t="str">
        <x:v>2026-10-14</x:v>
      </x:c>
      <x:c r="N95" s="317" t="str">
        <x:v>Research tracking only; no national/Alliance approval</x:v>
      </x:c>
    </x:row>
    <x:row r="96" ht="74" customHeight="1">
      <x:c r="A96" s="316" t="str">
        <x:v>S91</x:v>
      </x:c>
      <x:c r="B96" s="317" t="str">
        <x:v>ISA Controller Requirements 6.0</x:v>
      </x:c>
      <x:c r="C96" s="317" t="str">
        <x:v>Not newly verified for this exact edition/artifact</x:v>
      </x:c>
      <x:c r="D96" s="317" t="str">
        <x:v>Not assigned</x:v>
      </x:c>
      <x:c r="E96" s="317" t="str">
        <x:v>Not assigned</x:v>
      </x:c>
      <x:c r="F96" s="317" t="str">
        <x:v>Original S25 baseline retained; new lookup not performed</x:v>
      </x:c>
      <x:c r="G96" s="317" t="str">
        <x:v>No current registry action: technical dependency/edition and implementation target must be selected first</x:v>
      </x:c>
      <x:c r="H96" s="317" t="str">
        <x:v>No exact current NATO adoption newly verified</x:v>
      </x:c>
      <x:c r="I96" s="317" t="str">
        <x:v>ISA Phase 1 + Phase 2 reports; eleven user-supplied 6.0 PDFs</x:v>
      </x:c>
      <x:c r="J96" s="317" t="str">
        <x:v>Coordinate applicable OGC/STANAG profile through custodian only after a real NATO requirement and exact edition decision</x:v>
      </x:c>
      <x:c r="K96" s="317" t="str">
        <x:v>Selected concrete dependency, scope, and authority approval—not citation alone</x:v>
      </x:c>
      <x:c r="L96" s="317" t="str">
        <x:v>local:ISA_Controller_Requirements-6.0r4.pdf</x:v>
      </x:c>
      <x:c r="M96" s="317" t="str">
        <x:v>2026-10-14</x:v>
      </x:c>
      <x:c r="N96" s="317" t="str">
        <x:v>Research tracking only; no national/Alliance approval</x:v>
      </x:c>
    </x:row>
    <x:row r="97" ht="74" customHeight="1">
      <x:c r="A97" s="316" t="str">
        <x:v>S92</x:v>
      </x:c>
      <x:c r="B97" s="317" t="str">
        <x:v>ISA Introductory Guide 6.0</x:v>
      </x:c>
      <x:c r="C97" s="317" t="str">
        <x:v>Not newly verified for this exact edition/artifact</x:v>
      </x:c>
      <x:c r="D97" s="317" t="str">
        <x:v>Not assigned</x:v>
      </x:c>
      <x:c r="E97" s="317" t="str">
        <x:v>Not assigned</x:v>
      </x:c>
      <x:c r="F97" s="317" t="str">
        <x:v>Original S25 baseline retained; new lookup not performed</x:v>
      </x:c>
      <x:c r="G97" s="317" t="str">
        <x:v>No current registry action: technical dependency/edition and implementation target must be selected first</x:v>
      </x:c>
      <x:c r="H97" s="317" t="str">
        <x:v>No exact current NATO adoption newly verified</x:v>
      </x:c>
      <x:c r="I97" s="317" t="str">
        <x:v>ISA Phase 1 + Phase 2 reports; eleven user-supplied 6.0 PDFs</x:v>
      </x:c>
      <x:c r="J97" s="317" t="str">
        <x:v>Coordinate applicable OGC/STANAG profile through custodian only after a real NATO requirement and exact edition decision</x:v>
      </x:c>
      <x:c r="K97" s="317" t="str">
        <x:v>Selected concrete dependency, scope, and authority approval—not citation alone</x:v>
      </x:c>
      <x:c r="L97" s="317" t="str">
        <x:v>local:ISA_Introductory_Guide-6.0r2.pdf</x:v>
      </x:c>
      <x:c r="M97" s="317" t="str">
        <x:v>2026-10-14</x:v>
      </x:c>
      <x:c r="N97" s="317" t="str">
        <x:v>Research tracking only; no national/Alliance approval</x:v>
      </x:c>
    </x:row>
    <x:row r="98" ht="74" customHeight="1">
      <x:c r="A98" s="316" t="str">
        <x:v>S93</x:v>
      </x:c>
      <x:c r="B98" s="317" t="str">
        <x:v>ISA Data Query Language Users Guide 6.0</x:v>
      </x:c>
      <x:c r="C98" s="317" t="str">
        <x:v>Not newly verified for this exact edition/artifact</x:v>
      </x:c>
      <x:c r="D98" s="317" t="str">
        <x:v>Not assigned</x:v>
      </x:c>
      <x:c r="E98" s="317" t="str">
        <x:v>Not assigned</x:v>
      </x:c>
      <x:c r="F98" s="317" t="str">
        <x:v>Original S25 baseline retained; new lookup not performed</x:v>
      </x:c>
      <x:c r="G98" s="317" t="str">
        <x:v>No current registry action: technical dependency/edition and implementation target must be selected first</x:v>
      </x:c>
      <x:c r="H98" s="317" t="str">
        <x:v>No exact current NATO adoption newly verified</x:v>
      </x:c>
      <x:c r="I98" s="317" t="str">
        <x:v>ISA Phase 1 + Phase 2 reports; eleven user-supplied 6.0 PDFs</x:v>
      </x:c>
      <x:c r="J98" s="317" t="str">
        <x:v>Coordinate applicable OGC/STANAG profile through custodian only after a real NATO requirement and exact edition decision</x:v>
      </x:c>
      <x:c r="K98" s="317" t="str">
        <x:v>Selected concrete dependency, scope, and authority approval—not citation alone</x:v>
      </x:c>
      <x:c r="L98" s="317" t="str">
        <x:v>local:ISA_Data_Query_Language_Users_Guide-6.0r4.pdf</x:v>
      </x:c>
      <x:c r="M98" s="317" t="str">
        <x:v>2026-10-14</x:v>
      </x:c>
      <x:c r="N98" s="317" t="str">
        <x:v>Research tracking only; no national/Alliance approval</x:v>
      </x:c>
    </x:row>
    <x:row r="99" ht="74" customHeight="1">
      <x:c r="A99" s="316" t="str">
        <x:v>S94</x:v>
      </x:c>
      <x:c r="B99" s="317" t="str">
        <x:v>ISA IPL3 Usage Guide 6.0</x:v>
      </x:c>
      <x:c r="C99" s="317" t="str">
        <x:v>Not newly verified for this exact edition/artifact</x:v>
      </x:c>
      <x:c r="D99" s="317" t="str">
        <x:v>Not assigned</x:v>
      </x:c>
      <x:c r="E99" s="317" t="str">
        <x:v>Not assigned</x:v>
      </x:c>
      <x:c r="F99" s="317" t="str">
        <x:v>Original S25 baseline retained; new lookup not performed</x:v>
      </x:c>
      <x:c r="G99" s="317" t="str">
        <x:v>No current registry action: technical dependency/edition and implementation target must be selected first</x:v>
      </x:c>
      <x:c r="H99" s="317" t="str">
        <x:v>No exact current NATO adoption newly verified</x:v>
      </x:c>
      <x:c r="I99" s="317" t="str">
        <x:v>ISA Phase 1 + Phase 2 reports; eleven user-supplied 6.0 PDFs</x:v>
      </x:c>
      <x:c r="J99" s="317" t="str">
        <x:v>Coordinate applicable OGC/STANAG profile through custodian only after a real NATO requirement and exact edition decision</x:v>
      </x:c>
      <x:c r="K99" s="317" t="str">
        <x:v>Selected concrete dependency, scope, and authority approval—not citation alone</x:v>
      </x:c>
      <x:c r="L99" s="317" t="str">
        <x:v>local:ISA_IPL3_Usage_Guide-6.0r4.pdf</x:v>
      </x:c>
      <x:c r="M99" s="317" t="str">
        <x:v>2026-10-14</x:v>
      </x:c>
      <x:c r="N99" s="317" t="str">
        <x:v>Research tracking only; no national/Alliance approval</x:v>
      </x:c>
    </x:row>
    <x:row r="100" ht="74" customHeight="1">
      <x:c r="A100" s="316" t="str">
        <x:v>S95</x:v>
      </x:c>
      <x:c r="B100" s="317" t="str">
        <x:v>ISA Certificate Usage Guide 6.0</x:v>
      </x:c>
      <x:c r="C100" s="317" t="str">
        <x:v>Not newly verified for this exact edition/artifact</x:v>
      </x:c>
      <x:c r="D100" s="317" t="str">
        <x:v>Not assigned</x:v>
      </x:c>
      <x:c r="E100" s="317" t="str">
        <x:v>Not assigned</x:v>
      </x:c>
      <x:c r="F100" s="317" t="str">
        <x:v>Original S25 baseline retained; new lookup not performed</x:v>
      </x:c>
      <x:c r="G100" s="317" t="str">
        <x:v>No current registry action: technical dependency/edition and implementation target must be selected first</x:v>
      </x:c>
      <x:c r="H100" s="317" t="str">
        <x:v>No exact current NATO adoption newly verified</x:v>
      </x:c>
      <x:c r="I100" s="317" t="str">
        <x:v>ISA Phase 1 + Phase 2 reports; eleven user-supplied 6.0 PDFs</x:v>
      </x:c>
      <x:c r="J100" s="317" t="str">
        <x:v>Coordinate applicable OGC/STANAG profile through custodian only after a real NATO requirement and exact edition decision</x:v>
      </x:c>
      <x:c r="K100" s="317" t="str">
        <x:v>Selected concrete dependency, scope, and authority approval—not citation alone</x:v>
      </x:c>
      <x:c r="L100" s="317" t="str">
        <x:v>local:ISA_Certificate_Usage_Guide-6.0r2.pdf</x:v>
      </x:c>
      <x:c r="M100" s="317" t="str">
        <x:v>2026-10-14</x:v>
      </x:c>
      <x:c r="N100" s="317" t="str">
        <x:v>Research tracking only; no national/Alliance approval</x:v>
      </x:c>
    </x:row>
    <x:row r="101" ht="74" customHeight="1">
      <x:c r="A101" s="316" t="str">
        <x:v>S96</x:v>
      </x:c>
      <x:c r="B101" s="317" t="str">
        <x:v>On the Difference between Information Models and Data Models</x:v>
      </x:c>
      <x:c r="C101" s="317" t="str">
        <x:v>Not newly verified for this exact edition/artifact</x:v>
      </x:c>
      <x:c r="D101" s="317" t="str">
        <x:v>Not assigned</x:v>
      </x:c>
      <x:c r="E101" s="317" t="str">
        <x:v>Not assigned</x:v>
      </x:c>
      <x:c r="F101" s="317" t="str">
        <x:v>Original S25 baseline retained; new lookup not performed</x:v>
      </x:c>
      <x:c r="G101" s="317" t="str">
        <x:v>No current registry action: technical dependency/edition and implementation target must be selected first</x:v>
      </x:c>
      <x:c r="H101" s="317" t="str">
        <x:v>No exact current NATO adoption newly verified</x:v>
      </x:c>
      <x:c r="I101" s="317" t="str">
        <x:v>Main profile v0.3.1 and standards-pedigree primer, plus ISA/power references</x:v>
      </x:c>
      <x:c r="J101" s="317" t="str">
        <x:v>Coordinate applicable OGC/STANAG profile through custodian only after a real NATO requirement and exact edition decision</x:v>
      </x:c>
      <x:c r="K101" s="317" t="str">
        <x:v>Selected concrete dependency, scope, and authority approval—not citation alone</x:v>
      </x:c>
      <x:c r="L101" s="317" t="str">
        <x:v>https://www.rfc-editor.org/rfc/rfc3444.html</x:v>
      </x:c>
      <x:c r="M101" s="317" t="str">
        <x:v>2026-10-14</x:v>
      </x:c>
      <x:c r="N101" s="317" t="str">
        <x:v>Research tracking only; no national/Alliance approval</x:v>
      </x:c>
    </x:row>
    <x:row r="102" ht="74" customHeight="1">
      <x:c r="A102" s="316" t="str">
        <x:v>S97</x:v>
      </x:c>
      <x:c r="B102" s="317" t="str">
        <x:v>OGC Observations Measurements and Samples 3.0</x:v>
      </x:c>
      <x:c r="C102" s="317" t="str">
        <x:v>Not newly verified for this exact edition/artifact</x:v>
      </x:c>
      <x:c r="D102" s="317" t="str">
        <x:v>Not assigned</x:v>
      </x:c>
      <x:c r="E102" s="317" t="str">
        <x:v>Not assigned</x:v>
      </x:c>
      <x:c r="F102" s="317" t="str">
        <x:v>Original S25 baseline retained; new lookup not performed</x:v>
      </x:c>
      <x:c r="G102" s="317" t="str">
        <x:v>No current registry action: technical dependency/edition and implementation target must be selected first</x:v>
      </x:c>
      <x:c r="H102" s="317" t="str">
        <x:v>No exact current NATO adoption newly verified</x:v>
      </x:c>
      <x:c r="I102" s="317" t="str">
        <x:v>Foundational-semantics assessment A and evidence register D, 14 October 2026</x:v>
      </x:c>
      <x:c r="J102" s="317" t="str">
        <x:v>Coordinate applicable OGC/STANAG profile through custodian only after a real NATO requirement and exact edition decision</x:v>
      </x:c>
      <x:c r="K102" s="317" t="str">
        <x:v>Selected concrete dependency, scope, and authority approval—not citation alone</x:v>
      </x:c>
      <x:c r="L102" s="317" t="str">
        <x:v>https://docs.ogc.org/as/20-082r4/20-082r4.html</x:v>
      </x:c>
      <x:c r="M102" s="317" t="str">
        <x:v>2026-10-14</x:v>
      </x:c>
      <x:c r="N102" s="317" t="str">
        <x:v>Research tracking only; no national/Alliance approval</x:v>
      </x:c>
    </x:row>
    <x:row r="103" ht="74" customHeight="1">
      <x:c r="A103" s="316" t="str">
        <x:v>S98</x:v>
      </x:c>
      <x:c r="B103" s="317" t="str">
        <x:v>Observation and Sampling of a Smiley Face</x:v>
      </x:c>
      <x:c r="C103" s="317" t="str">
        <x:v>Not newly verified for this exact edition/artifact</x:v>
      </x:c>
      <x:c r="D103" s="317" t="str">
        <x:v>Not assigned</x:v>
      </x:c>
      <x:c r="E103" s="317" t="str">
        <x:v>Not assigned</x:v>
      </x:c>
      <x:c r="F103" s="317" t="str">
        <x:v>Original S25 baseline retained; new lookup not performed</x:v>
      </x:c>
      <x:c r="G103" s="317" t="str">
        <x:v>No current registry action: technical dependency/edition and implementation target must be selected first</x:v>
      </x:c>
      <x:c r="H103" s="317" t="str">
        <x:v>No exact current NATO adoption newly verified</x:v>
      </x:c>
      <x:c r="I103" s="317" t="str">
        <x:v>Foundational-semantics assessment A and evidence register D, 14 October 2026</x:v>
      </x:c>
      <x:c r="J103" s="317" t="str">
        <x:v>Coordinate applicable OGC/STANAG profile through custodian only after a real NATO requirement and exact edition decision</x:v>
      </x:c>
      <x:c r="K103" s="317" t="str">
        <x:v>Selected concrete dependency, scope, and authority approval—not citation alone</x:v>
      </x:c>
      <x:c r="L103" s="317" t="str">
        <x:v>local:25-038.pdf</x:v>
      </x:c>
      <x:c r="M103" s="317" t="str">
        <x:v>2026-10-14</x:v>
      </x:c>
      <x:c r="N103" s="317" t="str">
        <x:v>Research tracking only; no national/Alliance approval</x:v>
      </x:c>
    </x:row>
    <x:row r="104" ht="74" customHeight="1">
      <x:c r="A104" s="316" t="str">
        <x:v>S99</x:v>
      </x:c>
      <x:c r="B104" s="317" t="str">
        <x:v>SOSA/SSN 2026 Working Draft</x:v>
      </x:c>
      <x:c r="C104" s="317" t="str">
        <x:v>Not newly verified for this exact edition/artifact</x:v>
      </x:c>
      <x:c r="D104" s="317" t="str">
        <x:v>Not assigned</x:v>
      </x:c>
      <x:c r="E104" s="317" t="str">
        <x:v>Not assigned</x:v>
      </x:c>
      <x:c r="F104" s="317" t="str">
        <x:v>Original S25 baseline retained; new lookup not performed</x:v>
      </x:c>
      <x:c r="G104" s="317" t="str">
        <x:v>No current registry action: technical dependency/edition and implementation target must be selected first</x:v>
      </x:c>
      <x:c r="H104" s="317" t="str">
        <x:v>No exact current NATO adoption newly verified</x:v>
      </x:c>
      <x:c r="I104" s="317" t="str">
        <x:v>Foundational-semantics assessment A and evidence register D, 14 October 2026</x:v>
      </x:c>
      <x:c r="J104" s="317" t="str">
        <x:v>Coordinate applicable OGC/STANAG profile through custodian only after a real NATO requirement and exact edition decision</x:v>
      </x:c>
      <x:c r="K104" s="317" t="str">
        <x:v>Selected concrete dependency, scope, and authority approval—not citation alone</x:v>
      </x:c>
      <x:c r="L104" s="317" t="str">
        <x:v>https://www.w3.org/TR/2026/WD-vocab-ssn-2023-20261012/</x:v>
      </x:c>
      <x:c r="M104" s="317" t="str">
        <x:v>2026-10-14</x:v>
      </x:c>
      <x:c r="N104" s="317" t="str">
        <x:v>Research tracking only; no national/Alliance approval</x:v>
      </x:c>
    </x:row>
    <x:row r="105" ht="74" customHeight="1">
      <x:c r="A105" s="316" t="str">
        <x:v>S100</x:v>
      </x:c>
      <x:c r="B105" s="317" t="str">
        <x:v>I-ADOPT WG Outputs and Recommendations</x:v>
      </x:c>
      <x:c r="C105" s="317" t="str">
        <x:v>Not newly verified for this exact edition/artifact</x:v>
      </x:c>
      <x:c r="D105" s="317" t="str">
        <x:v>Not assigned</x:v>
      </x:c>
      <x:c r="E105" s="317" t="str">
        <x:v>Not assigned</x:v>
      </x:c>
      <x:c r="F105" s="317" t="str">
        <x:v>Original S25 baseline retained; new lookup not performed</x:v>
      </x:c>
      <x:c r="G105" s="317" t="str">
        <x:v>No current registry action: technical dependency/edition and implementation target must be selected first</x:v>
      </x:c>
      <x:c r="H105" s="317" t="str">
        <x:v>No exact current NATO adoption newly verified</x:v>
      </x:c>
      <x:c r="I105" s="317" t="str">
        <x:v>Foundational-semantics assessment A and evidence register D, 14 October 2026</x:v>
      </x:c>
      <x:c r="J105" s="317" t="str">
        <x:v>Coordinate applicable OGC/STANAG profile through custodian only after a real NATO requirement and exact edition decision</x:v>
      </x:c>
      <x:c r="K105" s="317" t="str">
        <x:v>Selected concrete dependency, scope, and authority approval—not citation alone</x:v>
      </x:c>
      <x:c r="L105" s="317" t="str">
        <x:v>https://doi.org/10.15497/RDA00071</x:v>
      </x:c>
      <x:c r="M105" s="317" t="str">
        <x:v>2026-10-14</x:v>
      </x:c>
      <x:c r="N105" s="317" t="str">
        <x:v>Research tracking only; no national/Alliance approval</x:v>
      </x:c>
    </x:row>
    <x:row r="106" ht="74" customHeight="1">
      <x:c r="A106" s="316" t="str">
        <x:v>S101</x:v>
      </x:c>
      <x:c r="B106" s="317" t="str">
        <x:v>I-ADOPT Framework Ontology 1.1.0</x:v>
      </x:c>
      <x:c r="C106" s="317" t="str">
        <x:v>Not newly verified for this exact edition/artifact</x:v>
      </x:c>
      <x:c r="D106" s="317" t="str">
        <x:v>Not assigned</x:v>
      </x:c>
      <x:c r="E106" s="317" t="str">
        <x:v>Not assigned</x:v>
      </x:c>
      <x:c r="F106" s="317" t="str">
        <x:v>Original S25 baseline retained; new lookup not performed</x:v>
      </x:c>
      <x:c r="G106" s="317" t="str">
        <x:v>No current registry action: technical dependency/edition and implementation target must be selected first</x:v>
      </x:c>
      <x:c r="H106" s="317" t="str">
        <x:v>No exact current NATO adoption newly verified</x:v>
      </x:c>
      <x:c r="I106" s="317" t="str">
        <x:v>Foundational-semantics assessment A and evidence register D, 14 October 2026</x:v>
      </x:c>
      <x:c r="J106" s="317" t="str">
        <x:v>Coordinate applicable OGC/STANAG profile through custodian only after a real NATO requirement and exact edition decision</x:v>
      </x:c>
      <x:c r="K106" s="317" t="str">
        <x:v>Selected concrete dependency, scope, and authority approval—not citation alone</x:v>
      </x:c>
      <x:c r="L106" s="317" t="str">
        <x:v>https://i-adopt.github.io/ontology/</x:v>
      </x:c>
      <x:c r="M106" s="317" t="str">
        <x:v>2026-10-14</x:v>
      </x:c>
      <x:c r="N106" s="317" t="str">
        <x:v>Research tracking only; no national/Alliance approval</x:v>
      </x:c>
    </x:row>
    <x:row r="107" ht="74" customHeight="1">
      <x:c r="A107" s="316" t="str">
        <x:v>S102</x:v>
      </x:c>
      <x:c r="B107" s="317" t="str">
        <x:v>I-ADOPT 1.1.0 pinned Turtle ontology</x:v>
      </x:c>
      <x:c r="C107" s="317" t="str">
        <x:v>Not newly verified for this exact edition/artifact</x:v>
      </x:c>
      <x:c r="D107" s="317" t="str">
        <x:v>Not assigned</x:v>
      </x:c>
      <x:c r="E107" s="317" t="str">
        <x:v>Not assigned</x:v>
      </x:c>
      <x:c r="F107" s="317" t="str">
        <x:v>Original S25 baseline retained; new lookup not performed</x:v>
      </x:c>
      <x:c r="G107" s="317" t="str">
        <x:v>No current registry action: technical dependency/edition and implementation target must be selected first</x:v>
      </x:c>
      <x:c r="H107" s="317" t="str">
        <x:v>No exact current NATO adoption newly verified</x:v>
      </x:c>
      <x:c r="I107" s="317" t="str">
        <x:v>Foundational-semantics assessment A and evidence register D, 14 October 2026</x:v>
      </x:c>
      <x:c r="J107" s="317" t="str">
        <x:v>Coordinate applicable OGC/STANAG profile through custodian only after a real NATO requirement and exact edition decision</x:v>
      </x:c>
      <x:c r="K107" s="317" t="str">
        <x:v>Selected concrete dependency, scope, and authority approval—not citation alone</x:v>
      </x:c>
      <x:c r="L107" s="317" t="str">
        <x:v>https://github.com/i-adopt/ontology/blob/604a560a5826d4c9102060a85eca00b15dc30ef9/ontology/i-adopt_1_1_0.ttl</x:v>
      </x:c>
      <x:c r="M107" s="317" t="str">
        <x:v>2026-10-14</x:v>
      </x:c>
      <x:c r="N107" s="317" t="str">
        <x:v>Research tracking only; no national/Alliance approval</x:v>
      </x:c>
    </x:row>
    <x:row r="108" ht="74" customHeight="1">
      <x:c r="A108" s="316" t="str">
        <x:v>S103</x:v>
      </x:c>
      <x:c r="B108" s="317" t="str">
        <x:v>I-ADOPT Variable Design Patterns</x:v>
      </x:c>
      <x:c r="C108" s="317" t="str">
        <x:v>Not newly verified for this exact edition/artifact</x:v>
      </x:c>
      <x:c r="D108" s="317" t="str">
        <x:v>Not assigned</x:v>
      </x:c>
      <x:c r="E108" s="317" t="str">
        <x:v>Not assigned</x:v>
      </x:c>
      <x:c r="F108" s="317" t="str">
        <x:v>Original S25 baseline retained; new lookup not performed</x:v>
      </x:c>
      <x:c r="G108" s="317" t="str">
        <x:v>No current registry action: technical dependency/edition and implementation target must be selected first</x:v>
      </x:c>
      <x:c r="H108" s="317" t="str">
        <x:v>No exact current NATO adoption newly verified</x:v>
      </x:c>
      <x:c r="I108" s="317" t="str">
        <x:v>Foundational-semantics assessment A and evidence register D, 14 October 2026</x:v>
      </x:c>
      <x:c r="J108" s="317" t="str">
        <x:v>Coordinate applicable OGC/STANAG profile through custodian only after a real NATO requirement and exact edition decision</x:v>
      </x:c>
      <x:c r="K108" s="317" t="str">
        <x:v>Selected concrete dependency, scope, and authority approval—not citation alone</x:v>
      </x:c>
      <x:c r="L108" s="317" t="str">
        <x:v>https://github.com/i-adopt/patterns</x:v>
      </x:c>
      <x:c r="M108" s="317" t="str">
        <x:v>2026-10-14</x:v>
      </x:c>
      <x:c r="N108" s="317" t="str">
        <x:v>Research tracking only; no national/Alliance approval</x:v>
      </x:c>
    </x:row>
    <x:row r="109" ht="74" customHeight="1">
      <x:c r="A109" s="316" t="str">
        <x:v>S104</x:v>
      </x:c>
      <x:c r="B109" s="317" t="str">
        <x:v>QUDT Catalog 3.5.2</x:v>
      </x:c>
      <x:c r="C109" s="317" t="str">
        <x:v>No independent entry asserted in this reconciliation</x:v>
      </x:c>
      <x:c r="D109" s="317" t="str">
        <x:v>Not separately rechecked</x:v>
      </x:c>
      <x:c r="E109" s="317" t="str">
        <x:v>Not separately rechecked</x:v>
      </x:c>
      <x:c r="F109" s="317" t="str">
        <x:v>Foundational review made no new registry claims</x:v>
      </x:c>
      <x:c r="G109" s="317" t="str">
        <x:v>No current registry action: technical dependency/edition and implementation target must be selected first</x:v>
      </x:c>
      <x:c r="H109" s="317" t="str">
        <x:v>No exact current NATO adoption newly verified</x:v>
      </x:c>
      <x:c r="I109" s="317" t="str">
        <x:v>Foundational-semantics assessment A and evidence register D, 14 October 2026</x:v>
      </x:c>
      <x:c r="J109" s="317" t="str">
        <x:v>Coordinate applicable OGC/STANAG profile through custodian only after a real NATO requirement and exact edition decision</x:v>
      </x:c>
      <x:c r="K109" s="317" t="str">
        <x:v>Selected concrete dependency, scope, and authority approval—not citation alone</x:v>
      </x:c>
      <x:c r="L109" s="317" t="str">
        <x:v>https://www.qudt.org/catalog/qudt-catalog.html</x:v>
      </x:c>
      <x:c r="M109" s="317" t="str">
        <x:v>2026-10-14</x:v>
      </x:c>
      <x:c r="N109" s="317" t="str">
        <x:v>Research tracking only; no national/Alliance approval</x:v>
      </x:c>
    </x:row>
    <x:row r="110" ht="74" customHeight="1">
      <x:c r="A110" s="316" t="str">
        <x:v>S105</x:v>
      </x:c>
      <x:c r="B110" s="317" t="str">
        <x:v>SWEET ontology repository</x:v>
      </x:c>
      <x:c r="C110" s="317" t="str">
        <x:v>No independent entry asserted in this reconciliation</x:v>
      </x:c>
      <x:c r="D110" s="317" t="str">
        <x:v>Not separately rechecked</x:v>
      </x:c>
      <x:c r="E110" s="317" t="str">
        <x:v>Not separately rechecked</x:v>
      </x:c>
      <x:c r="F110" s="317" t="str">
        <x:v>Foundational review made no new registry claims</x:v>
      </x:c>
      <x:c r="G110" s="317" t="str">
        <x:v>No current registry action: technical dependency/edition and implementation target must be selected first</x:v>
      </x:c>
      <x:c r="H110" s="317" t="str">
        <x:v>No exact current NATO adoption newly verified</x:v>
      </x:c>
      <x:c r="I110" s="317" t="str">
        <x:v>Foundational-semantics assessment A and evidence register D, 14 October 2026</x:v>
      </x:c>
      <x:c r="J110" s="317" t="str">
        <x:v>Coordinate applicable OGC/STANAG profile through custodian only after a real NATO requirement and exact edition decision</x:v>
      </x:c>
      <x:c r="K110" s="317" t="str">
        <x:v>Selected concrete dependency, scope, and authority approval—not citation alone</x:v>
      </x:c>
      <x:c r="L110" s="317" t="str">
        <x:v>https://github.com/ESIPFed/sweet</x:v>
      </x:c>
      <x:c r="M110" s="317" t="str">
        <x:v>2026-10-14</x:v>
      </x:c>
      <x:c r="N110" s="317" t="str">
        <x:v>Research tracking only; no national/Alliance approval</x:v>
      </x:c>
    </x:row>
    <x:row r="111" ht="74" customHeight="1">
      <x:c r="A111" s="316" t="str">
        <x:v>S106</x:v>
      </x:c>
      <x:c r="B111" s="317" t="str">
        <x:v>SWEET material instrument ontology module</x:v>
      </x:c>
      <x:c r="C111" s="317" t="str">
        <x:v>No independent entry asserted in this reconciliation</x:v>
      </x:c>
      <x:c r="D111" s="317" t="str">
        <x:v>Not separately rechecked</x:v>
      </x:c>
      <x:c r="E111" s="317" t="str">
        <x:v>Not separately rechecked</x:v>
      </x:c>
      <x:c r="F111" s="317" t="str">
        <x:v>Foundational review made no new registry claims</x:v>
      </x:c>
      <x:c r="G111" s="317" t="str">
        <x:v>No current registry action: technical dependency/edition and implementation target must be selected first</x:v>
      </x:c>
      <x:c r="H111" s="317" t="str">
        <x:v>No exact current NATO adoption newly verified</x:v>
      </x:c>
      <x:c r="I111" s="317" t="str">
        <x:v>Foundational-semantics assessment A and evidence register D, 14 October 2026</x:v>
      </x:c>
      <x:c r="J111" s="317" t="str">
        <x:v>Coordinate applicable OGC/STANAG profile through custodian only after a real NATO requirement and exact edition decision</x:v>
      </x:c>
      <x:c r="K111" s="317" t="str">
        <x:v>Selected concrete dependency, scope, and authority approval—not citation alone</x:v>
      </x:c>
      <x:c r="L111" s="317" t="str">
        <x:v>https://github.com/ESIPFed/sweet/blob/master/src/matrInstrument.ttl</x:v>
      </x:c>
      <x:c r="M111" s="317" t="str">
        <x:v>2026-10-14</x:v>
      </x:c>
      <x:c r="N111" s="317" t="str">
        <x:v>Research tracking only; no national/Alliance approval</x:v>
      </x:c>
    </x:row>
    <x:row r="112" ht="74" customHeight="1">
      <x:c r="A112" s="316" t="str">
        <x:v>S107</x:v>
      </x:c>
      <x:c r="B112" s="317" t="str">
        <x:v>I-ADOPT OMS extension roadmap</x:v>
      </x:c>
      <x:c r="C112" s="317" t="str">
        <x:v>Not newly verified for this exact edition/artifact</x:v>
      </x:c>
      <x:c r="D112" s="317" t="str">
        <x:v>Not assigned</x:v>
      </x:c>
      <x:c r="E112" s="317" t="str">
        <x:v>Not assigned</x:v>
      </x:c>
      <x:c r="F112" s="317" t="str">
        <x:v>Original S25 baseline retained; new lookup not performed</x:v>
      </x:c>
      <x:c r="G112" s="317" t="str">
        <x:v>No current registry action: technical dependency/edition and implementation target must be selected first</x:v>
      </x:c>
      <x:c r="H112" s="317" t="str">
        <x:v>No exact current NATO adoption newly verified</x:v>
      </x:c>
      <x:c r="I112" s="317" t="str">
        <x:v>Foundational-semantics assessment A and evidence register D, 14 October 2026</x:v>
      </x:c>
      <x:c r="J112" s="317" t="str">
        <x:v>Coordinate applicable OGC/STANAG profile through custodian only after a real NATO requirement and exact edition decision</x:v>
      </x:c>
      <x:c r="K112" s="317" t="str">
        <x:v>Selected concrete dependency, scope, and authority approval—not citation alone</x:v>
      </x:c>
      <x:c r="L112" s="317" t="str">
        <x:v>https://i-adopt.github.io/overview.html</x:v>
      </x:c>
      <x:c r="M112" s="317" t="str">
        <x:v>2026-10-14</x:v>
      </x:c>
      <x:c r="N112" s="317" t="str">
        <x:v>Research tracking only; no national/Alliance approval</x:v>
      </x:c>
    </x:row>
    <x:row r="113" ht="74" customHeight="1">
      <x:c r="A113" s="316" t="str">
        <x:v>S108</x:v>
      </x:c>
      <x:c r="B113" s="317" t="str">
        <x:v>I-ADOPT patterns playground</x:v>
      </x:c>
      <x:c r="C113" s="317" t="str">
        <x:v>Not newly verified for this exact edition/artifact</x:v>
      </x:c>
      <x:c r="D113" s="317" t="str">
        <x:v>Not assigned</x:v>
      </x:c>
      <x:c r="E113" s="317" t="str">
        <x:v>Not assigned</x:v>
      </x:c>
      <x:c r="F113" s="317" t="str">
        <x:v>Original S25 baseline retained; new lookup not performed</x:v>
      </x:c>
      <x:c r="G113" s="317" t="str">
        <x:v>No current registry action: technical dependency/edition and implementation target must be selected first</x:v>
      </x:c>
      <x:c r="H113" s="317" t="str">
        <x:v>No exact current NATO adoption newly verified</x:v>
      </x:c>
      <x:c r="I113" s="317" t="str">
        <x:v>Foundational-semantics assessment A and evidence register D, 14 October 2026</x:v>
      </x:c>
      <x:c r="J113" s="317" t="str">
        <x:v>Coordinate applicable OGC/STANAG profile through custodian only after a real NATO requirement and exact edition decision</x:v>
      </x:c>
      <x:c r="K113" s="317" t="str">
        <x:v>Selected concrete dependency, scope, and authority approval—not citation alone</x:v>
      </x:c>
      <x:c r="L113" s="317" t="str">
        <x:v>https://github.com/mabablue/I-ADOPT-patterns-playground</x:v>
      </x:c>
      <x:c r="M113" s="317" t="str">
        <x:v>2026-10-14</x:v>
      </x:c>
      <x:c r="N113" s="317" t="str">
        <x:v>Research tracking only; no national/Alliance approval</x:v>
      </x:c>
    </x:row>
    <x:row r="114" ht="74" customHeight="1">
      <x:c r="A114" s="316" t="str">
        <x:v>S109</x:v>
      </x:c>
      <x:c r="B114" s="317" t="str">
        <x:v>QUDT quantity kind Concentration</x:v>
      </x:c>
      <x:c r="C114" s="317" t="str">
        <x:v>No independent entry asserted in this reconciliation</x:v>
      </x:c>
      <x:c r="D114" s="317" t="str">
        <x:v>Not separately rechecked</x:v>
      </x:c>
      <x:c r="E114" s="317" t="str">
        <x:v>Not separately rechecked</x:v>
      </x:c>
      <x:c r="F114" s="317" t="str">
        <x:v>Foundational review made no new registry claims</x:v>
      </x:c>
      <x:c r="G114" s="317" t="str">
        <x:v>No current registry action: technical dependency/edition and implementation target must be selected first</x:v>
      </x:c>
      <x:c r="H114" s="317" t="str">
        <x:v>No exact current NATO adoption newly verified</x:v>
      </x:c>
      <x:c r="I114" s="317" t="str">
        <x:v>Foundational-semantics assessment A and evidence register D, 14 October 2026</x:v>
      </x:c>
      <x:c r="J114" s="317" t="str">
        <x:v>Coordinate applicable OGC/STANAG profile through custodian only after a real NATO requirement and exact edition decision</x:v>
      </x:c>
      <x:c r="K114" s="317" t="str">
        <x:v>Selected concrete dependency, scope, and authority approval—not citation alone</x:v>
      </x:c>
      <x:c r="L114" s="317" t="str">
        <x:v>http://qudt.org/vocab/quantitykind/Concentration</x:v>
      </x:c>
      <x:c r="M114" s="317" t="str">
        <x:v>2026-10-14</x:v>
      </x:c>
      <x:c r="N114" s="317" t="str">
        <x:v>Research tracking only; no national/Alliance approval</x:v>
      </x:c>
    </x:row>
    <x:row r="115" ht="74" customHeight="1">
      <x:c r="A115" s="304" t="str">
        <x:v>S110</x:v>
      </x:c>
      <x:c r="B115" s="304" t="str">
        <x:v>SAPIENT Network of Autonomous Sensors and Effectors—Interface Control Document—Specification</x:v>
      </x:c>
      <x:c r="C115" s="304" t="str">
        <x:v>Completed SAPIENT study: full 5,253-row baseline targeted scan found no SAPIENT/BSI Flex 335 name match.</x:v>
      </x:c>
      <x:c r="D115" s="304" t="str">
        <x:v>No matching entry</x:v>
      </x:c>
      <x:c r="E115" s="304" t="str">
        <x:v>No matching entry</x:v>
      </x:c>
      <x:c r="F115" s="304" t="str">
        <x:v>S25 complete 10 Oct baseline; completed donor studies; DISR Screen Handoff</x:v>
      </x:c>
      <x:c r="G115" s="304" t="str">
        <x:v>No new registry action. Source inclusion is not normative dependency approval.</x:v>
      </x:c>
      <x:c r="H115" s="304" t="str">
        <x:v>No new exact NATO adoption established by this consolidation.</x:v>
      </x:c>
      <x:c r="I115" s="304" t="str">
        <x:v>Completed source-study evidence only.</x:v>
      </x:c>
      <x:c r="J115" s="304" t="str">
        <x:v>No NATO action authorized.</x:v>
      </x:c>
      <x:c r="K115" s="304" t="str">
        <x:v>Actual selected dependency and exact edition/role.</x:v>
      </x:c>
      <x:c r="L115" s="304" t="str">
        <x:v>https://www.bsigroup.com/siteassets/pdf/en/insights-and-media/insights/brochures/bsi-flex-335.pdf</x:v>
      </x:c>
      <x:c r="M115" s="304" t="str">
        <x:v>2026-10-17</x:v>
      </x:c>
      <x:c r="N115" s="304" t="str">
        <x:v>Research record only; profile stays v0.3.5.</x:v>
      </x:c>
    </x:row>
    <x:row r="116" ht="74" customHeight="1">
      <x:c r="A116" s="304" t="str">
        <x:v>S111</x:v>
      </x:c>
      <x:c r="B116" s="304" t="str">
        <x:v>SAPIENT-Proto-Files: bsi_flex_335_v2_0</x:v>
      </x:c>
      <x:c r="C116" s="304" t="str">
        <x:v>No separate exact-artifact status assigned by this consolidation.</x:v>
      </x:c>
      <x:c r="D116" s="304" t="str">
        <x:v>Not assigned</x:v>
      </x:c>
      <x:c r="E116" s="304" t="str">
        <x:v>Not assigned</x:v>
      </x:c>
      <x:c r="F116" s="304" t="str">
        <x:v>S25 complete 10 Oct baseline; completed donor studies; DISR Screen Handoff</x:v>
      </x:c>
      <x:c r="G116" s="304" t="str">
        <x:v>No new registry action. Source inclusion is not normative dependency approval.</x:v>
      </x:c>
      <x:c r="H116" s="304" t="str">
        <x:v>No new exact NATO adoption established by this consolidation.</x:v>
      </x:c>
      <x:c r="I116" s="304" t="str">
        <x:v>Completed source-study evidence only.</x:v>
      </x:c>
      <x:c r="J116" s="304" t="str">
        <x:v>No NATO action authorized.</x:v>
      </x:c>
      <x:c r="K116" s="304" t="str">
        <x:v>Actual selected dependency and exact edition/role.</x:v>
      </x:c>
      <x:c r="L116" s="304" t="str">
        <x:v>https://github.com/dstl/SAPIENT-Proto-Files/tree/244a741c13bcee628f84944aef91e4a66854bd7d/bsi_flex_335_v2_0</x:v>
      </x:c>
      <x:c r="M116" s="304" t="str">
        <x:v>2026-10-17</x:v>
      </x:c>
      <x:c r="N116" s="304" t="str">
        <x:v>Research record only; profile stays v0.3.5.</x:v>
      </x:c>
    </x:row>
    <x:row r="117" ht="74" customHeight="1">
      <x:c r="A117" s="304" t="str">
        <x:v>S112</x:v>
      </x:c>
      <x:c r="B117" s="304" t="str">
        <x:v>BSI-Flex-335-v2-Test-Harness</x:v>
      </x:c>
      <x:c r="C117" s="304" t="str">
        <x:v>No separate exact-artifact status assigned by this consolidation.</x:v>
      </x:c>
      <x:c r="D117" s="304" t="str">
        <x:v>Not assigned</x:v>
      </x:c>
      <x:c r="E117" s="304" t="str">
        <x:v>Not assigned</x:v>
      </x:c>
      <x:c r="F117" s="304" t="str">
        <x:v>S25 complete 10 Oct baseline; completed donor studies; DISR Screen Handoff</x:v>
      </x:c>
      <x:c r="G117" s="304" t="str">
        <x:v>No new registry action. Source inclusion is not normative dependency approval.</x:v>
      </x:c>
      <x:c r="H117" s="304" t="str">
        <x:v>No new exact NATO adoption established by this consolidation.</x:v>
      </x:c>
      <x:c r="I117" s="304" t="str">
        <x:v>Completed source-study evidence only.</x:v>
      </x:c>
      <x:c r="J117" s="304" t="str">
        <x:v>No NATO action authorized.</x:v>
      </x:c>
      <x:c r="K117" s="304" t="str">
        <x:v>Actual selected dependency and exact edition/role.</x:v>
      </x:c>
      <x:c r="L117" s="304" t="str">
        <x:v>https://github.com/dstl/BSI-Flex-335-v2-Test-Harness/tree/6a2999d70d761d224914ddd8fa3f663af5005be0</x:v>
      </x:c>
      <x:c r="M117" s="304" t="str">
        <x:v>2026-10-17</x:v>
      </x:c>
      <x:c r="N117" s="304" t="str">
        <x:v>Research record only; profile stays v0.3.5.</x:v>
      </x:c>
    </x:row>
    <x:row r="118" ht="74" customHeight="1">
      <x:c r="A118" s="304" t="str">
        <x:v>S113</x:v>
      </x:c>
      <x:c r="B118" s="304" t="str">
        <x:v>Apex-SAPIENT-Middleware</x:v>
      </x:c>
      <x:c r="C118" s="304" t="str">
        <x:v>No separate exact-artifact status assigned by this consolidation.</x:v>
      </x:c>
      <x:c r="D118" s="304" t="str">
        <x:v>Not assigned</x:v>
      </x:c>
      <x:c r="E118" s="304" t="str">
        <x:v>Not assigned</x:v>
      </x:c>
      <x:c r="F118" s="304" t="str">
        <x:v>S25 complete 10 Oct baseline; completed donor studies; DISR Screen Handoff</x:v>
      </x:c>
      <x:c r="G118" s="304" t="str">
        <x:v>No new registry action. Source inclusion is not normative dependency approval.</x:v>
      </x:c>
      <x:c r="H118" s="304" t="str">
        <x:v>No new exact NATO adoption established by this consolidation.</x:v>
      </x:c>
      <x:c r="I118" s="304" t="str">
        <x:v>Completed source-study evidence only.</x:v>
      </x:c>
      <x:c r="J118" s="304" t="str">
        <x:v>No NATO action authorized.</x:v>
      </x:c>
      <x:c r="K118" s="304" t="str">
        <x:v>Actual selected dependency and exact edition/role.</x:v>
      </x:c>
      <x:c r="L118" s="304" t="str">
        <x:v>https://github.com/dstl/Apex-SAPIENT-Middleware/tree/0c8591ae97f2dc336eff299845880d5c73ee75b7</x:v>
      </x:c>
      <x:c r="M118" s="304" t="str">
        <x:v>2026-10-17</x:v>
      </x:c>
      <x:c r="N118" s="304" t="str">
        <x:v>Research record only; profile stays v0.3.5.</x:v>
      </x:c>
    </x:row>
    <x:row r="119" ht="74" customHeight="1">
      <x:c r="A119" s="304" t="str">
        <x:v>S114</x:v>
      </x:c>
      <x:c r="B119" s="304" t="str">
        <x:v>Technical Standard for SOSA Reference Architecture, Edition 1.1</x:v>
      </x:c>
      <x:c r="C119" s="304" t="str">
        <x:v>One exact SOSA row in complete S25 export; edition not supplied.</x:v>
      </x:c>
      <x:c r="D119" s="304" t="str">
        <x:v>Mandated (edition unspecified)</x:v>
      </x:c>
      <x:c r="E119" s="304" t="str">
        <x:v>IC-Mandated (edition unspecified)</x:v>
      </x:c>
      <x:c r="F119" s="304" t="str">
        <x:v>S25 complete 10 Oct baseline; completed donor studies; DISR Screen Handoff</x:v>
      </x:c>
      <x:c r="G119" s="304" t="str">
        <x:v>No new registry action. Source inclusion is not normative dependency approval.</x:v>
      </x:c>
      <x:c r="H119" s="304" t="str">
        <x:v>No new exact NATO adoption established by this consolidation.</x:v>
      </x:c>
      <x:c r="I119" s="304" t="str">
        <x:v>Completed source-study evidence only.</x:v>
      </x:c>
      <x:c r="J119" s="304" t="str">
        <x:v>No NATO action authorized.</x:v>
      </x:c>
      <x:c r="K119" s="304" t="str">
        <x:v>Actual selected dependency and exact edition/role.</x:v>
      </x:c>
      <x:c r="L119" s="304" t="str">
        <x:v>https://publications.opengroup.org/c239</x:v>
      </x:c>
      <x:c r="M119" s="304" t="str">
        <x:v>2026-10-17</x:v>
      </x:c>
      <x:c r="N119" s="304" t="str">
        <x:v>Research record only; profile stays v0.3.5.</x:v>
      </x:c>
    </x:row>
    <x:row r="120" ht="74" customHeight="1">
      <x:c r="A120" s="304" t="str">
        <x:v>S115</x:v>
      </x:c>
      <x:c r="B120" s="304" t="str">
        <x:v>SOSA Domain-Specific Data Model, Edition 1.0, and IDL companion</x:v>
      </x:c>
      <x:c r="C120" s="304" t="str">
        <x:v>No separate exact-artifact status assigned by this consolidation.</x:v>
      </x:c>
      <x:c r="D120" s="304" t="str">
        <x:v>Not assigned</x:v>
      </x:c>
      <x:c r="E120" s="304" t="str">
        <x:v>Not assigned</x:v>
      </x:c>
      <x:c r="F120" s="304" t="str">
        <x:v>S25 complete 10 Oct baseline; completed donor studies; DISR Screen Handoff</x:v>
      </x:c>
      <x:c r="G120" s="304" t="str">
        <x:v>No new registry action. Source inclusion is not normative dependency approval.</x:v>
      </x:c>
      <x:c r="H120" s="304" t="str">
        <x:v>No new exact NATO adoption established by this consolidation.</x:v>
      </x:c>
      <x:c r="I120" s="304" t="str">
        <x:v>Completed source-study evidence only.</x:v>
      </x:c>
      <x:c r="J120" s="304" t="str">
        <x:v>No NATO action authorized.</x:v>
      </x:c>
      <x:c r="K120" s="304" t="str">
        <x:v>Actual selected dependency and exact edition/role.</x:v>
      </x:c>
      <x:c r="L120" s="304" t="str">
        <x:v>https://publications.opengroup.org/c239</x:v>
      </x:c>
      <x:c r="M120" s="304" t="str">
        <x:v>2026-10-17</x:v>
      </x:c>
      <x:c r="N120" s="304" t="str">
        <x:v>Research record only; profile stays v0.3.5.</x:v>
      </x:c>
    </x:row>
    <x:row r="121" ht="74" customHeight="1">
      <x:c r="A121" s="304" t="str">
        <x:v>S116</x:v>
      </x:c>
      <x:c r="B121" s="304" t="str">
        <x:v>SOSA in-band management OpenAPI definitions</x:v>
      </x:c>
      <x:c r="C121" s="304" t="str">
        <x:v>No separate exact-artifact status assigned by this consolidation.</x:v>
      </x:c>
      <x:c r="D121" s="304" t="str">
        <x:v>Not assigned</x:v>
      </x:c>
      <x:c r="E121" s="304" t="str">
        <x:v>Not assigned</x:v>
      </x:c>
      <x:c r="F121" s="304" t="str">
        <x:v>S25 complete 10 Oct baseline; completed donor studies; DISR Screen Handoff</x:v>
      </x:c>
      <x:c r="G121" s="304" t="str">
        <x:v>No new registry action. Source inclusion is not normative dependency approval.</x:v>
      </x:c>
      <x:c r="H121" s="304" t="str">
        <x:v>No new exact NATO adoption established by this consolidation.</x:v>
      </x:c>
      <x:c r="I121" s="304" t="str">
        <x:v>Completed source-study evidence only.</x:v>
      </x:c>
      <x:c r="J121" s="304" t="str">
        <x:v>No NATO action authorized.</x:v>
      </x:c>
      <x:c r="K121" s="304" t="str">
        <x:v>Actual selected dependency and exact edition/role.</x:v>
      </x:c>
      <x:c r="L121" s="304" t="str">
        <x:v>https://publications.opengroup.org/c239</x:v>
      </x:c>
      <x:c r="M121" s="304" t="str">
        <x:v>2026-10-17</x:v>
      </x:c>
      <x:c r="N121" s="304" t="str">
        <x:v>Research record only; profile stays v0.3.5.</x:v>
      </x:c>
    </x:row>
    <x:row r="122" ht="74" customHeight="1">
      <x:c r="A122" s="304" t="str">
        <x:v>S117</x:v>
      </x:c>
      <x:c r="B122" s="304" t="str">
        <x:v>Technical Standard for SOSA Reference Architecture, Edition 2.0 (Snapshot 3)</x:v>
      </x:c>
      <x:c r="C122" s="304" t="str">
        <x:v>No separate exact-artifact status assigned by this consolidation.</x:v>
      </x:c>
      <x:c r="D122" s="304" t="str">
        <x:v>Not assigned</x:v>
      </x:c>
      <x:c r="E122" s="304" t="str">
        <x:v>Not assigned</x:v>
      </x:c>
      <x:c r="F122" s="304" t="str">
        <x:v>S25 complete 10 Oct baseline; completed donor studies; DISR Screen Handoff</x:v>
      </x:c>
      <x:c r="G122" s="304" t="str">
        <x:v>No new registry action. Source inclusion is not normative dependency approval.</x:v>
      </x:c>
      <x:c r="H122" s="304" t="str">
        <x:v>No new exact NATO adoption established by this consolidation.</x:v>
      </x:c>
      <x:c r="I122" s="304" t="str">
        <x:v>Completed source-study evidence only.</x:v>
      </x:c>
      <x:c r="J122" s="304" t="str">
        <x:v>No NATO action authorized.</x:v>
      </x:c>
      <x:c r="K122" s="304" t="str">
        <x:v>Actual selected dependency and exact edition/role.</x:v>
      </x:c>
      <x:c r="L122" s="304" t="str">
        <x:v>https://publications.opengroup.org/standards/s251</x:v>
      </x:c>
      <x:c r="M122" s="304" t="str">
        <x:v>2026-10-17</x:v>
      </x:c>
      <x:c r="N122" s="304" t="str">
        <x:v>Research record only; profile stays v0.3.5.</x:v>
      </x:c>
    </x:row>
    <x:row r="123" ht="74" customHeight="1">
      <x:c r="A123" s="304" t="str">
        <x:v>S118</x:v>
      </x:c>
      <x:c r="B123" s="304" t="str">
        <x:v>Standardization Decisions for a Modular Open Systems Approach (MOSA)</x:v>
      </x:c>
      <x:c r="C123" s="304" t="str">
        <x:v>No separate exact-artifact status assigned by this consolidation.</x:v>
      </x:c>
      <x:c r="D123" s="304" t="str">
        <x:v>Not assigned</x:v>
      </x:c>
      <x:c r="E123" s="304" t="str">
        <x:v>Not assigned</x:v>
      </x:c>
      <x:c r="F123" s="304" t="str">
        <x:v>S25 complete 10 Oct baseline; completed donor studies; DISR Screen Handoff</x:v>
      </x:c>
      <x:c r="G123" s="304" t="str">
        <x:v>No new registry action. Source inclusion is not normative dependency approval.</x:v>
      </x:c>
      <x:c r="H123" s="304" t="str">
        <x:v>No new exact NATO adoption established by this consolidation.</x:v>
      </x:c>
      <x:c r="I123" s="304" t="str">
        <x:v>Completed source-study evidence only.</x:v>
      </x:c>
      <x:c r="J123" s="304" t="str">
        <x:v>No NATO action authorized.</x:v>
      </x:c>
      <x:c r="K123" s="304" t="str">
        <x:v>Actual selected dependency and exact edition/role.</x:v>
      </x:c>
      <x:c r="L123" s="304" t="str">
        <x:v>https://quicksearch.dla.mil/qsDocDetails.aspx?ident_number=286891</x:v>
      </x:c>
      <x:c r="M123" s="304" t="str">
        <x:v>2026-10-17</x:v>
      </x:c>
      <x:c r="N123" s="304" t="str">
        <x:v>Research record only; profile stays v0.3.5.</x:v>
      </x:c>
    </x:row>
    <x:row r="124" ht="74" customHeight="1">
      <x:c r="A124" s="304" t="str">
        <x:v>S119</x:v>
      </x:c>
      <x:c r="B124" s="304" t="str">
        <x:v>Modular Open Systems Approach Portfolio: HOST, FACE, SOSA, UCS, and Open Mission Systems</x:v>
      </x:c>
      <x:c r="C124" s="304" t="str">
        <x:v>No separate exact-artifact status assigned by this consolidation.</x:v>
      </x:c>
      <x:c r="D124" s="304" t="str">
        <x:v>Not assigned</x:v>
      </x:c>
      <x:c r="E124" s="304" t="str">
        <x:v>Not assigned</x:v>
      </x:c>
      <x:c r="F124" s="304" t="str">
        <x:v>S25 complete 10 Oct baseline; completed donor studies; DISR Screen Handoff</x:v>
      </x:c>
      <x:c r="G124" s="304" t="str">
        <x:v>No new registry action. Source inclusion is not normative dependency approval.</x:v>
      </x:c>
      <x:c r="H124" s="304" t="str">
        <x:v>No new exact NATO adoption established by this consolidation.</x:v>
      </x:c>
      <x:c r="I124" s="304" t="str">
        <x:v>Completed source-study evidence only.</x:v>
      </x:c>
      <x:c r="J124" s="304" t="str">
        <x:v>No NATO action authorized.</x:v>
      </x:c>
      <x:c r="K124" s="304" t="str">
        <x:v>Actual selected dependency and exact edition/role.</x:v>
      </x:c>
      <x:c r="L124" s="304" t="str">
        <x:v>https://quicksearch.dla.mil/qsDocDetails.aspx?ident_number=284706</x:v>
      </x:c>
      <x:c r="M124" s="304" t="str">
        <x:v>2026-10-17</x:v>
      </x:c>
      <x:c r="N124" s="304" t="str">
        <x:v>Research record only; profile stays v0.3.5.</x:v>
      </x:c>
    </x:row>
    <x:row r="125" ht="74" customHeight="1">
      <x:c r="A125" s="304" t="str">
        <x:v>S120</x:v>
      </x:c>
      <x:c r="B125" s="304" t="str">
        <x:v>United States Code, title 10, §§4401–4403</x:v>
      </x:c>
      <x:c r="C125" s="304" t="str">
        <x:v>No separate exact-artifact status assigned by this consolidation.</x:v>
      </x:c>
      <x:c r="D125" s="304" t="str">
        <x:v>Not assigned</x:v>
      </x:c>
      <x:c r="E125" s="304" t="str">
        <x:v>Not assigned</x:v>
      </x:c>
      <x:c r="F125" s="304" t="str">
        <x:v>S25 complete 10 Oct baseline; completed donor studies; DISR Screen Handoff</x:v>
      </x:c>
      <x:c r="G125" s="304" t="str">
        <x:v>No new registry action. Source inclusion is not normative dependency approval.</x:v>
      </x:c>
      <x:c r="H125" s="304" t="str">
        <x:v>No new exact NATO adoption established by this consolidation.</x:v>
      </x:c>
      <x:c r="I125" s="304" t="str">
        <x:v>Completed source-study evidence only.</x:v>
      </x:c>
      <x:c r="J125" s="304" t="str">
        <x:v>No NATO action authorized.</x:v>
      </x:c>
      <x:c r="K125" s="304" t="str">
        <x:v>Actual selected dependency and exact edition/role.</x:v>
      </x:c>
      <x:c r="L125" s="304" t="str">
        <x:v>https://uscode.house.gov/view.xhtml?edition=prelim&amp;f=treesort&amp;req=(title:10%20section:4401%20edition:prelim)</x:v>
      </x:c>
      <x:c r="M125" s="304" t="str">
        <x:v>2026-10-17</x:v>
      </x:c>
      <x:c r="N125" s="304" t="str">
        <x:v>Research record only; profile stays v0.3.5.</x:v>
      </x:c>
    </x:row>
    <x:row r="126" ht="74" customHeight="1">
      <x:c r="A126" s="304" t="str">
        <x:v>S121</x:v>
      </x:c>
      <x:c r="B126" s="304" t="str">
        <x:v>CSAPI Part 1 v1.0 property-definition JSON schema subset</x:v>
      </x:c>
      <x:c r="C126" s="304" t="str">
        <x:v>No separate exact-artifact status assigned by this consolidation.</x:v>
      </x:c>
      <x:c r="D126" s="304" t="str">
        <x:v>Not assigned</x:v>
      </x:c>
      <x:c r="E126" s="304" t="str">
        <x:v>Not assigned</x:v>
      </x:c>
      <x:c r="F126" s="304" t="str">
        <x:v>S25 complete 10 Oct baseline; completed donor studies; DISR Screen Handoff</x:v>
      </x:c>
      <x:c r="G126" s="304" t="str">
        <x:v>No new registry action. Source inclusion is not normative dependency approval.</x:v>
      </x:c>
      <x:c r="H126" s="304" t="str">
        <x:v>No new exact NATO adoption established by this consolidation.</x:v>
      </x:c>
      <x:c r="I126" s="304" t="str">
        <x:v>Completed source-study evidence only.</x:v>
      </x:c>
      <x:c r="J126" s="304" t="str">
        <x:v>No NATO action authorized.</x:v>
      </x:c>
      <x:c r="K126" s="304" t="str">
        <x:v>Actual selected dependency and exact edition/role.</x:v>
      </x:c>
      <x:c r="L126" s="304" t="str">
        <x:v>https://schemas.opengis.net/ogcapi/connected-systems/part1/1.0/openapi/schemas/sensorml/property.json</x:v>
      </x:c>
      <x:c r="M126" s="304" t="str">
        <x:v>2026-10-17</x:v>
      </x:c>
      <x:c r="N126" s="304" t="str">
        <x:v>Research record only; profile stays v0.3.5.</x:v>
      </x:c>
    </x:row>
    <x:row r="127" ht="74" customHeight="1">
      <x:c r="A127" s="304" t="str">
        <x:v>S122</x:v>
      </x:c>
      <x:c r="B127" s="304" t="str">
        <x:v>CSAPI Part 2 v1.0 DataStream and Observation JSON schema subset</x:v>
      </x:c>
      <x:c r="C127" s="304" t="str">
        <x:v>No separate exact-artifact status assigned by this consolidation.</x:v>
      </x:c>
      <x:c r="D127" s="304" t="str">
        <x:v>Not assigned</x:v>
      </x:c>
      <x:c r="E127" s="304" t="str">
        <x:v>Not assigned</x:v>
      </x:c>
      <x:c r="F127" s="304" t="str">
        <x:v>S25 complete 10 Oct baseline; completed donor studies; DISR Screen Handoff</x:v>
      </x:c>
      <x:c r="G127" s="304" t="str">
        <x:v>No new registry action. Source inclusion is not normative dependency approval.</x:v>
      </x:c>
      <x:c r="H127" s="304" t="str">
        <x:v>No new exact NATO adoption established by this consolidation.</x:v>
      </x:c>
      <x:c r="I127" s="304" t="str">
        <x:v>Completed source-study evidence only.</x:v>
      </x:c>
      <x:c r="J127" s="304" t="str">
        <x:v>No NATO action authorized.</x:v>
      </x:c>
      <x:c r="K127" s="304" t="str">
        <x:v>Actual selected dependency and exact edition/role.</x:v>
      </x:c>
      <x:c r="L127" s="304" t="str">
        <x:v>https://schemas.opengis.net/ogcapi/connected-systems/part2/1.0/openapi/schemas/json/dataStream.json</x:v>
      </x:c>
      <x:c r="M127" s="304" t="str">
        <x:v>2026-10-17</x:v>
      </x:c>
      <x:c r="N127" s="304" t="str">
        <x:v>Research record only; profile stays v0.3.5.</x:v>
      </x:c>
    </x:row>
    <x:row r="128" ht="74" customHeight="1">
      <x:c r="A128" s="304" t="str">
        <x:v>S123</x:v>
      </x:c>
      <x:c r="B128" s="304" t="str">
        <x:v>SWE Common 3.0 Quantity and basic-types JSON schema subset</x:v>
      </x:c>
      <x:c r="C128" s="304" t="str">
        <x:v>No separate exact-artifact status assigned by this consolidation.</x:v>
      </x:c>
      <x:c r="D128" s="304" t="str">
        <x:v>Not assigned</x:v>
      </x:c>
      <x:c r="E128" s="304" t="str">
        <x:v>Not assigned</x:v>
      </x:c>
      <x:c r="F128" s="304" t="str">
        <x:v>S25 complete 10 Oct baseline; completed donor studies; DISR Screen Handoff</x:v>
      </x:c>
      <x:c r="G128" s="304" t="str">
        <x:v>No new registry action. Source inclusion is not normative dependency approval.</x:v>
      </x:c>
      <x:c r="H128" s="304" t="str">
        <x:v>No new exact NATO adoption established by this consolidation.</x:v>
      </x:c>
      <x:c r="I128" s="304" t="str">
        <x:v>Completed source-study evidence only.</x:v>
      </x:c>
      <x:c r="J128" s="304" t="str">
        <x:v>No NATO action authorized.</x:v>
      </x:c>
      <x:c r="K128" s="304" t="str">
        <x:v>Actual selected dependency and exact edition/role.</x:v>
      </x:c>
      <x:c r="L128" s="304" t="str">
        <x:v>https://schemas.opengis.net/sweCommon/3.0/json/Quantity.json</x:v>
      </x:c>
      <x:c r="M128" s="304" t="str">
        <x:v>2026-10-17</x:v>
      </x:c>
      <x:c r="N128" s="304" t="str">
        <x:v>Research record only; profile stays v0.3.5.</x:v>
      </x:c>
    </x:row>
    <x:row r="129" ht="74" customHeight="1">
      <x:c r="A129" s="304" t="str">
        <x:v>S124</x:v>
      </x:c>
      <x:c r="B129" s="304" t="str">
        <x:v>SAPIENT networked autonomous sensing</x:v>
      </x:c>
      <x:c r="C129" s="304" t="str">
        <x:v>No separate exact-artifact status assigned by this consolidation.</x:v>
      </x:c>
      <x:c r="D129" s="304" t="str">
        <x:v>Not assigned</x:v>
      </x:c>
      <x:c r="E129" s="304" t="str">
        <x:v>Not assigned</x:v>
      </x:c>
      <x:c r="F129" s="304" t="str">
        <x:v>S25 complete 10 Oct baseline; completed donor studies; DISR Screen Handoff</x:v>
      </x:c>
      <x:c r="G129" s="304" t="str">
        <x:v>No new registry action. Source inclusion is not normative dependency approval.</x:v>
      </x:c>
      <x:c r="H129" s="304" t="str">
        <x:v>No new exact NATO adoption established by this consolidation.</x:v>
      </x:c>
      <x:c r="I129" s="304" t="str">
        <x:v>Completed source-study evidence only.</x:v>
      </x:c>
      <x:c r="J129" s="304" t="str">
        <x:v>No NATO action authorized.</x:v>
      </x:c>
      <x:c r="K129" s="304" t="str">
        <x:v>Actual selected dependency and exact edition/role.</x:v>
      </x:c>
      <x:c r="L129" s="304" t="str">
        <x:v>https://www.gov.uk/guidance/sapient-autonomous-sensor-system</x:v>
      </x:c>
      <x:c r="M129" s="304" t="str">
        <x:v>2026-10-17</x:v>
      </x:c>
      <x:c r="N129" s="304" t="str">
        <x:v>Research record only; profile stays v0.3.5.</x:v>
      </x:c>
    </x:row>
    <x:row r="130" ht="175" customHeight="1">
      <x:c r="A130" s="28" t="str">
        <x:v>S125</x:v>
      </x:c>
      <x:c r="B130" s="28" t="str">
        <x:v>N42-2011 Radiation Portal Monitor example</x:v>
      </x:c>
      <x:c r="C130" s="28" t="str">
        <x:v>Not assessed in the authoritative export for this increment</x:v>
      </x:c>
      <x:c r="D130" s="28" t="str">
        <x:v>Not established by this review</x:v>
      </x:c>
      <x:c r="E130" s="28" t="str">
        <x:v>Not established by this review</x:v>
      </x:c>
      <x:c r="F130" s="28" t="str">
        <x:v>No new DISR lookup or row assertion</x:v>
      </x:c>
      <x:c r="G130" s="28" t="str">
        <x:v>No adoption change proposed</x:v>
      </x:c>
      <x:c r="H130" s="28" t="str">
        <x:v>Not established by this review</x:v>
      </x:c>
      <x:c r="I130" s="28" t="str">
        <x:v>No new NATO evidence</x:v>
      </x:c>
      <x:c r="J130" s="28" t="str">
        <x:v>No adoption change proposed</x:v>
      </x:c>
      <x:c r="K130" s="28" t="str">
        <x:v>REUSE AS MAPPING PRECEDENT</x:v>
      </x:c>
      <x:c r="L130" s="28" t="str">
        <x:v>https://www.nist.gov/pml/radiation-physics/n42-2011/n42-2011-radiation-portal-monitor</x:v>
      </x:c>
      <x:c r="M130" s="28" t="str">
        <x:v>2026-10-22</x:v>
      </x:c>
      <x:c r="N130" s="28" t="str">
        <x:v>Research selection is not mandated adoption or certification</x:v>
      </x:c>
    </x:row>
    <x:row r="131" ht="175" customHeight="1">
      <x:c r="A131" s="28" t="str">
        <x:v>S126</x:v>
      </x:c>
      <x:c r="B131" s="28" t="str">
        <x:v>N42-2011 Spectroscopic Radiation Portal Monitor example</x:v>
      </x:c>
      <x:c r="C131" s="28" t="str">
        <x:v>Not assessed in the authoritative export for this increment</x:v>
      </x:c>
      <x:c r="D131" s="28" t="str">
        <x:v>Not established by this review</x:v>
      </x:c>
      <x:c r="E131" s="28" t="str">
        <x:v>Not established by this review</x:v>
      </x:c>
      <x:c r="F131" s="28" t="str">
        <x:v>No new DISR lookup or row assertion</x:v>
      </x:c>
      <x:c r="G131" s="28" t="str">
        <x:v>No adoption change proposed</x:v>
      </x:c>
      <x:c r="H131" s="28" t="str">
        <x:v>Not established by this review</x:v>
      </x:c>
      <x:c r="I131" s="28" t="str">
        <x:v>No new NATO evidence</x:v>
      </x:c>
      <x:c r="J131" s="28" t="str">
        <x:v>No adoption change proposed</x:v>
      </x:c>
      <x:c r="K131" s="28" t="str">
        <x:v>REUSE AS MAPPING PRECEDENT</x:v>
      </x:c>
      <x:c r="L131" s="28" t="str">
        <x:v>https://www.nist.gov/pml/radiation-physics/n42-2011/n42-2011-spectroscopic-radiation-portal-monitor</x:v>
      </x:c>
      <x:c r="M131" s="28" t="str">
        <x:v>2026-10-22</x:v>
      </x:c>
      <x:c r="N131" s="28" t="str">
        <x:v>Research selection is not mandated adoption or certification</x:v>
      </x:c>
    </x:row>
    <x:row r="132" ht="175" customHeight="1">
      <x:c r="A132" s="28" t="str">
        <x:v>S127</x:v>
      </x:c>
      <x:c r="B132" s="28" t="str">
        <x:v>ANSI/IEEE N42.42-2020 Version: schema and example distribution index</x:v>
      </x:c>
      <x:c r="C132" s="28" t="str">
        <x:v>Not assessed in the authoritative export for this increment</x:v>
      </x:c>
      <x:c r="D132" s="28" t="str">
        <x:v>Not established by this review</x:v>
      </x:c>
      <x:c r="E132" s="28" t="str">
        <x:v>Not established by this review</x:v>
      </x:c>
      <x:c r="F132" s="28" t="str">
        <x:v>No new DISR lookup or row assertion</x:v>
      </x:c>
      <x:c r="G132" s="28" t="str">
        <x:v>No adoption change proposed</x:v>
      </x:c>
      <x:c r="H132" s="28" t="str">
        <x:v>Not established by this review</x:v>
      </x:c>
      <x:c r="I132" s="28" t="str">
        <x:v>No new NATO evidence</x:v>
      </x:c>
      <x:c r="J132" s="28" t="str">
        <x:v>No adoption change proposed</x:v>
      </x:c>
      <x:c r="K132" s="28" t="str">
        <x:v>GATED FOR NORMATIVE MAPPING</x:v>
      </x:c>
      <x:c r="L132" s="28" t="str">
        <x:v>https://www.nist.gov/pml/radiation-physics/ansiieee-n4242-2020-version</x:v>
      </x:c>
      <x:c r="M132" s="28" t="str">
        <x:v>2026-10-22</x:v>
      </x:c>
      <x:c r="N132" s="28" t="str">
        <x:v>Research selection is not mandated adoption or certification</x:v>
      </x:c>
    </x:row>
    <x:row r="133" ht="175" customHeight="1">
      <x:c r="A133" s="28" t="str">
        <x:v>S128</x:v>
      </x:c>
      <x:c r="B133" s="28" t="str">
        <x:v>PROV-DM: The PROV Data Model</x:v>
      </x:c>
      <x:c r="C133" s="28" t="str">
        <x:v>Not assessed in the authoritative export for this increment</x:v>
      </x:c>
      <x:c r="D133" s="28" t="str">
        <x:v>Not established by this review</x:v>
      </x:c>
      <x:c r="E133" s="28" t="str">
        <x:v>Not established by this review</x:v>
      </x:c>
      <x:c r="F133" s="28" t="str">
        <x:v>No new DISR lookup or row assertion</x:v>
      </x:c>
      <x:c r="G133" s="28" t="str">
        <x:v>No adoption change proposed</x:v>
      </x:c>
      <x:c r="H133" s="28" t="str">
        <x:v>Not established by this review</x:v>
      </x:c>
      <x:c r="I133" s="28" t="str">
        <x:v>No new NATO evidence</x:v>
      </x:c>
      <x:c r="J133" s="28" t="str">
        <x:v>No adoption change proposed</x:v>
      </x:c>
      <x:c r="K133" s="28" t="str">
        <x:v>SELECT FOR BOUNDED FOLLOW-ON BINDING</x:v>
      </x:c>
      <x:c r="L133" s="28" t="str">
        <x:v>https://www.w3.org/TR/2013/REC-prov-dm-20130430/</x:v>
      </x:c>
      <x:c r="M133" s="28" t="str">
        <x:v>2026-10-22</x:v>
      </x:c>
      <x:c r="N133" s="28" t="str">
        <x:v>Research selection is not mandated adoption or certification</x:v>
      </x:c>
    </x:row>
    <x:row r="134" ht="175" customHeight="1">
      <x:c r="A134" s="28" t="str">
        <x:v>S129</x:v>
      </x:c>
      <x:c r="B134" s="28" t="str">
        <x:v>PROV-O: The PROV Ontology</x:v>
      </x:c>
      <x:c r="C134" s="28" t="str">
        <x:v>Not assessed in the authoritative export for this increment</x:v>
      </x:c>
      <x:c r="D134" s="28" t="str">
        <x:v>Not established by this review</x:v>
      </x:c>
      <x:c r="E134" s="28" t="str">
        <x:v>Not established by this review</x:v>
      </x:c>
      <x:c r="F134" s="28" t="str">
        <x:v>No new DISR lookup or row assertion</x:v>
      </x:c>
      <x:c r="G134" s="28" t="str">
        <x:v>No adoption change proposed</x:v>
      </x:c>
      <x:c r="H134" s="28" t="str">
        <x:v>Not established by this review</x:v>
      </x:c>
      <x:c r="I134" s="28" t="str">
        <x:v>No new NATO evidence</x:v>
      </x:c>
      <x:c r="J134" s="28" t="str">
        <x:v>No adoption change proposed</x:v>
      </x:c>
      <x:c r="K134" s="28" t="str">
        <x:v>CANDIDATE NATIVE ENCODING</x:v>
      </x:c>
      <x:c r="L134" s="28" t="str">
        <x:v>https://www.w3.org/TR/2013/REC-prov-o-20130430/</x:v>
      </x:c>
      <x:c r="M134" s="28" t="str">
        <x:v>2026-10-22</x:v>
      </x:c>
      <x:c r="N134" s="28" t="str">
        <x:v>Research selection is not mandated adoption or certification</x:v>
      </x:c>
    </x:row>
    <x:row r="135" ht="175" customHeight="1">
      <x:c r="A135" s="28" t="str">
        <x:v>S130</x:v>
      </x:c>
      <x:c r="B135" s="28" t="str">
        <x:v>Constraints of the PROV Data Model</x:v>
      </x:c>
      <x:c r="C135" s="28" t="str">
        <x:v>Not assessed in the authoritative export for this increment</x:v>
      </x:c>
      <x:c r="D135" s="28" t="str">
        <x:v>Not established by this review</x:v>
      </x:c>
      <x:c r="E135" s="28" t="str">
        <x:v>Not established by this review</x:v>
      </x:c>
      <x:c r="F135" s="28" t="str">
        <x:v>No new DISR lookup or row assertion</x:v>
      </x:c>
      <x:c r="G135" s="28" t="str">
        <x:v>No adoption change proposed</x:v>
      </x:c>
      <x:c r="H135" s="28" t="str">
        <x:v>Not established by this review</x:v>
      </x:c>
      <x:c r="I135" s="28" t="str">
        <x:v>No new NATO evidence</x:v>
      </x:c>
      <x:c r="J135" s="28" t="str">
        <x:v>No adoption change proposed</x:v>
      </x:c>
      <x:c r="K135" s="28" t="str">
        <x:v>REQUIRED DEPENDENCY FOR FUTURE CLAIM</x:v>
      </x:c>
      <x:c r="L135" s="28" t="str">
        <x:v>https://www.w3.org/TR/2013/REC-prov-constraints-20130430/</x:v>
      </x:c>
      <x:c r="M135" s="28" t="str">
        <x:v>2026-10-22</x:v>
      </x:c>
      <x:c r="N135" s="28" t="str">
        <x:v>Research selection is not mandated adoption or certification</x:v>
      </x:c>
    </x:row>
    <x:row r="136" ht="175" customHeight="1">
      <x:c r="A136" s="28" t="str">
        <x:v>S131</x:v>
      </x:c>
      <x:c r="B136" s="28" t="str">
        <x:v>PROV-AQ: Provenance Access and Query</x:v>
      </x:c>
      <x:c r="C136" s="28" t="str">
        <x:v>Not assessed in the authoritative export for this increment</x:v>
      </x:c>
      <x:c r="D136" s="28" t="str">
        <x:v>Not established by this review</x:v>
      </x:c>
      <x:c r="E136" s="28" t="str">
        <x:v>Not established by this review</x:v>
      </x:c>
      <x:c r="F136" s="28" t="str">
        <x:v>No new DISR lookup or row assertion</x:v>
      </x:c>
      <x:c r="G136" s="28" t="str">
        <x:v>No adoption change proposed</x:v>
      </x:c>
      <x:c r="H136" s="28" t="str">
        <x:v>Not established by this review</x:v>
      </x:c>
      <x:c r="I136" s="28" t="str">
        <x:v>No new NATO evidence</x:v>
      </x:c>
      <x:c r="J136" s="28" t="str">
        <x:v>No adoption change proposed</x:v>
      </x:c>
      <x:c r="K136" s="28" t="str">
        <x:v>CANDIDATE ACCESS PATTERN</x:v>
      </x:c>
      <x:c r="L136" s="28" t="str">
        <x:v>https://www.w3.org/TR/2013/NOTE-prov-aq-20130430/</x:v>
      </x:c>
      <x:c r="M136" s="28" t="str">
        <x:v>2026-10-22</x:v>
      </x:c>
      <x:c r="N136" s="28" t="str">
        <x:v>Research selection is not mandated adoption or certification</x:v>
      </x:c>
    </x:row>
    <x:row r="137" ht="175" customHeight="1">
      <x:c r="A137" s="28" t="str">
        <x:v>S132</x:v>
      </x:c>
      <x:c r="B137" s="28" t="str">
        <x:v>Semantic Sensor Network Ontology – 2023 Edition</x:v>
      </x:c>
      <x:c r="C137" s="28" t="str">
        <x:v>Not assessed in the authoritative export for this increment</x:v>
      </x:c>
      <x:c r="D137" s="28" t="str">
        <x:v>Not established by this review</x:v>
      </x:c>
      <x:c r="E137" s="28" t="str">
        <x:v>Not established by this review</x:v>
      </x:c>
      <x:c r="F137" s="28" t="str">
        <x:v>No new DISR lookup or row assertion</x:v>
      </x:c>
      <x:c r="G137" s="28" t="str">
        <x:v>No adoption change proposed</x:v>
      </x:c>
      <x:c r="H137" s="28" t="str">
        <x:v>Not established by this review</x:v>
      </x:c>
      <x:c r="I137" s="28" t="str">
        <x:v>No new NATO evidence</x:v>
      </x:c>
      <x:c r="J137" s="28" t="str">
        <x:v>No adoption change proposed</x:v>
      </x:c>
      <x:c r="K137" s="28" t="str">
        <x:v>INFORMATIVE ALIGNMENT COMPARATOR</x:v>
      </x:c>
      <x:c r="L137" s="28" t="str">
        <x:v>https://www.w3.org/TR/2026/WD-vocab-ssn-2023-20261021/</x:v>
      </x:c>
      <x:c r="M137" s="28" t="str">
        <x:v>2026-10-22</x:v>
      </x:c>
      <x:c r="N137" s="28" t="str">
        <x:v>Research selection is not mandated adoption or certification</x:v>
      </x:c>
    </x:row>
    <x:row r="138" ht="175" customHeight="1">
      <x:c r="A138" s="28" t="str">
        <x:v>S133</x:v>
      </x:c>
      <x:c r="B138" s="28" t="str">
        <x:v>Data Catalog Vocabulary (DCAT) – Version 3</x:v>
      </x:c>
      <x:c r="C138" s="28" t="str">
        <x:v>Not assessed in the authoritative export for this increment</x:v>
      </x:c>
      <x:c r="D138" s="28" t="str">
        <x:v>Not established by this review</x:v>
      </x:c>
      <x:c r="E138" s="28" t="str">
        <x:v>Not established by this review</x:v>
      </x:c>
      <x:c r="F138" s="28" t="str">
        <x:v>No new DISR lookup or row assertion</x:v>
      </x:c>
      <x:c r="G138" s="28" t="str">
        <x:v>No adoption change proposed</x:v>
      </x:c>
      <x:c r="H138" s="28" t="str">
        <x:v>Not established by this review</x:v>
      </x:c>
      <x:c r="I138" s="28" t="str">
        <x:v>No new NATO evidence</x:v>
      </x:c>
      <x:c r="J138" s="28" t="str">
        <x:v>No adoption change proposed</x:v>
      </x:c>
      <x:c r="K138" s="28" t="str">
        <x:v>DEFER UNLESS PRODUCT CATALOG NEED IS SHOWN</x:v>
      </x:c>
      <x:c r="L138" s="28" t="str">
        <x:v>https://www.w3.org/TR/vocab-dcat-3/</x:v>
      </x:c>
      <x:c r="M138" s="28" t="str">
        <x:v>2026-10-22</x:v>
      </x:c>
      <x:c r="N138" s="28" t="str">
        <x:v>Research selection is not mandated adoption or certification</x:v>
      </x:c>
    </x:row>
    <x:row r="139" ht="175" customHeight="1">
      <x:c r="A139" s="28" t="str">
        <x:v>S134</x:v>
      </x:c>
      <x:c r="B139" s="28" t="str">
        <x:v>Case Management Model and Notation (CMMN)</x:v>
      </x:c>
      <x:c r="C139" s="28" t="str">
        <x:v>Not assessed in the authoritative export for this increment</x:v>
      </x:c>
      <x:c r="D139" s="28" t="str">
        <x:v>Not established by this review</x:v>
      </x:c>
      <x:c r="E139" s="28" t="str">
        <x:v>Not established by this review</x:v>
      </x:c>
      <x:c r="F139" s="28" t="str">
        <x:v>No new DISR lookup or row assertion</x:v>
      </x:c>
      <x:c r="G139" s="28" t="str">
        <x:v>No adoption change proposed</x:v>
      </x:c>
      <x:c r="H139" s="28" t="str">
        <x:v>Not established by this review</x:v>
      </x:c>
      <x:c r="I139" s="28" t="str">
        <x:v>No new NATO evidence</x:v>
      </x:c>
      <x:c r="J139" s="28" t="str">
        <x:v>No adoption change proposed</x:v>
      </x:c>
      <x:c r="K139" s="28" t="str">
        <x:v>DEFER: NOT NEEDED TO MAP ONE RETURNED DECISION</x:v>
      </x:c>
      <x:c r="L139" s="28" t="str">
        <x:v>https://www.omg.org/spec/CMMN/1.1/PDF</x:v>
      </x:c>
      <x:c r="M139" s="28" t="str">
        <x:v>2026-10-22</x:v>
      </x:c>
      <x:c r="N139" s="28" t="str">
        <x:v>Research selection is not mandated adoption or certification</x:v>
      </x:c>
    </x:row>
    <x:row r="140" ht="175" customHeight="1">
      <x:c r="A140" s="28" t="str">
        <x:v>S135</x:v>
      </x:c>
      <x:c r="B140" s="28" t="str">
        <x:v>OGC API – Processes – Part 1: Core</x:v>
      </x:c>
      <x:c r="C140" s="28" t="str">
        <x:v>Not assessed in the authoritative export for this increment</x:v>
      </x:c>
      <x:c r="D140" s="28" t="str">
        <x:v>Not established by this review</x:v>
      </x:c>
      <x:c r="E140" s="28" t="str">
        <x:v>Not established by this review</x:v>
      </x:c>
      <x:c r="F140" s="28" t="str">
        <x:v>No new DISR lookup or row assertion</x:v>
      </x:c>
      <x:c r="G140" s="28" t="str">
        <x:v>No adoption change proposed</x:v>
      </x:c>
      <x:c r="H140" s="28" t="str">
        <x:v>Not established by this review</x:v>
      </x:c>
      <x:c r="I140" s="28" t="str">
        <x:v>No new NATO evidence</x:v>
      </x:c>
      <x:c r="J140" s="28" t="str">
        <x:v>No adoption change proposed</x:v>
      </x:c>
      <x:c r="K140" s="28" t="str">
        <x:v>DEFER: EXISTING COMMAND/RESULT FIRST</x:v>
      </x:c>
      <x:c r="L140" s="28" t="str">
        <x:v>https://docs.ogc.org/is/18-062r2/18-062r2.html</x:v>
      </x:c>
      <x:c r="M140" s="28" t="str">
        <x:v>2026-10-22</x:v>
      </x:c>
      <x:c r="N140" s="28" t="str">
        <x:v>Research selection is not mandated adoption or certification</x:v>
      </x:c>
    </x:row>
    <x:row r="141" ht="175" customHeight="1">
      <x:c r="A141" s="28" t="str">
        <x:v>S136</x:v>
      </x:c>
      <x:c r="B141" s="28" t="str">
        <x:v>Detection at State Borders of Nuclear and Other Radioactive Material out of Regulatory Control</x:v>
      </x:c>
      <x:c r="C141" s="28" t="str">
        <x:v>Not assessed in the authoritative export for this increment</x:v>
      </x:c>
      <x:c r="D141" s="28" t="str">
        <x:v>Not established by this review</x:v>
      </x:c>
      <x:c r="E141" s="28" t="str">
        <x:v>Not established by this review</x:v>
      </x:c>
      <x:c r="F141" s="28" t="str">
        <x:v>No new DISR lookup or row assertion</x:v>
      </x:c>
      <x:c r="G141" s="28" t="str">
        <x:v>No adoption change proposed</x:v>
      </x:c>
      <x:c r="H141" s="28" t="str">
        <x:v>Not established by this review</x:v>
      </x:c>
      <x:c r="I141" s="28" t="str">
        <x:v>No new NATO evidence</x:v>
      </x:c>
      <x:c r="J141" s="28" t="str">
        <x:v>No adoption change proposed</x:v>
      </x:c>
      <x:c r="K141" s="28" t="str">
        <x:v>DOMAIN CONTEXT ONLY</x:v>
      </x:c>
      <x:c r="L141" s="28" t="str">
        <x:v>https://nucleus.iaea.org/sites/nss-oui/Published%20Collections/m_9c5cd7cc-4f40-427c-87c9-c81e6fb0acb3/m_9c5cd7cc-4f40-427c-87c9-c81e6fb0acb3__3_0.Html</x:v>
      </x:c>
      <x:c r="M141" s="28" t="str">
        <x:v>2026-10-22</x:v>
      </x:c>
      <x:c r="N141" s="28" t="str">
        <x:v>Research selection is not mandated adoption or certification</x:v>
      </x:c>
    </x:row>
    <x:row r="142" ht="175" customHeight="1">
      <x:c r="A142" s="28" t="str">
        <x:v>S137</x:v>
      </x:c>
      <x:c r="B142" s="28" t="str">
        <x:v>Documentary Standards: IEC 62755 Standard (N42 Data Format)</x:v>
      </x:c>
      <x:c r="C142" s="28" t="str">
        <x:v>Not assessed in the authoritative export for this increment</x:v>
      </x:c>
      <x:c r="D142" s="28" t="str">
        <x:v>Not established by this review</x:v>
      </x:c>
      <x:c r="E142" s="28" t="str">
        <x:v>Not established by this review</x:v>
      </x:c>
      <x:c r="F142" s="28" t="str">
        <x:v>No new DISR lookup or row assertion</x:v>
      </x:c>
      <x:c r="G142" s="28" t="str">
        <x:v>No adoption change proposed</x:v>
      </x:c>
      <x:c r="H142" s="28" t="str">
        <x:v>Not established by this review</x:v>
      </x:c>
      <x:c r="I142" s="28" t="str">
        <x:v>No new NATO evidence</x:v>
      </x:c>
      <x:c r="J142" s="28" t="str">
        <x:v>No adoption change proposed</x:v>
      </x:c>
      <x:c r="K142" s="28" t="str">
        <x:v>CONTEXT / NORMATIVE ACCESS GATED</x:v>
      </x:c>
      <x:c r="L142" s="28" t="str">
        <x:v>https://www.nist.gov/programs-projects/documentary-standards-iec-62755-standard-n42-data-format</x:v>
      </x:c>
      <x:c r="M142" s="28" t="str">
        <x:v>2026-10-22</x:v>
      </x:c>
      <x:c r="N142" s="28" t="str">
        <x:v>Research selection is not mandated adoption or certification</x:v>
      </x:c>
    </x:row>
    <x:row r="143" ht="175" customHeight="1">
      <x:c r="A143" s="28" t="str">
        <x:v>S138</x:v>
      </x:c>
      <x:c r="B143" s="28" t="str">
        <x:v>OSCAR viewer – pinned discovery and stream interpretation implementation</x:v>
      </x:c>
      <x:c r="C143" s="28" t="str">
        <x:v>Not assessed in the authoritative export for this increment</x:v>
      </x:c>
      <x:c r="D143" s="28" t="str">
        <x:v>Not established by this review</x:v>
      </x:c>
      <x:c r="E143" s="28" t="str">
        <x:v>Not established by this review</x:v>
      </x:c>
      <x:c r="F143" s="28" t="str">
        <x:v>No new DISR lookup or row assertion</x:v>
      </x:c>
      <x:c r="G143" s="28" t="str">
        <x:v>No adoption change proposed</x:v>
      </x:c>
      <x:c r="H143" s="28" t="str">
        <x:v>Not established by this review</x:v>
      </x:c>
      <x:c r="I143" s="28" t="str">
        <x:v>No new NATO evidence</x:v>
      </x:c>
      <x:c r="J143" s="28" t="str">
        <x:v>No adoption change proposed</x:v>
      </x:c>
      <x:c r="K143" s="28" t="str">
        <x:v>REUSE IMPLEMENTATION EVIDENCE</x:v>
      </x:c>
      <x:c r="L143" s="28" t="str">
        <x:v>https://github.com/Botts-Innovative-Research/oscar-viewer/tree/4b49c7cedc841c875dbb63613dfd21c34b8fa6ed</x:v>
      </x:c>
      <x:c r="M143" s="28" t="str">
        <x:v>2026-10-22</x:v>
      </x:c>
      <x:c r="N143" s="28" t="str">
        <x:v>Research selection is not mandated adoption or certification</x:v>
      </x:c>
    </x:row>
    <x:row r="144" ht="175" customHeight="1">
      <x:c r="A144" s="28" t="str">
        <x:v>S139</x:v>
      </x:c>
      <x:c r="B144" s="28" t="str">
        <x:v>OSCAR server modules and bundled N42 artifacts – pinned implementation</x:v>
      </x:c>
      <x:c r="C144" s="28" t="str">
        <x:v>Not assessed in the authoritative export for this increment</x:v>
      </x:c>
      <x:c r="D144" s="28" t="str">
        <x:v>Not established by this review</x:v>
      </x:c>
      <x:c r="E144" s="28" t="str">
        <x:v>Not established by this review</x:v>
      </x:c>
      <x:c r="F144" s="28" t="str">
        <x:v>No new DISR lookup or row assertion</x:v>
      </x:c>
      <x:c r="G144" s="28" t="str">
        <x:v>No adoption change proposed</x:v>
      </x:c>
      <x:c r="H144" s="28" t="str">
        <x:v>Not established by this review</x:v>
      </x:c>
      <x:c r="I144" s="28" t="str">
        <x:v>No new NATO evidence</x:v>
      </x:c>
      <x:c r="J144" s="28" t="str">
        <x:v>No adoption change proposed</x:v>
      </x:c>
      <x:c r="K144" s="28" t="str">
        <x:v>REUSE IMPLEMENTATION / EXAMPLE EVIDENCE</x:v>
      </x:c>
      <x:c r="L144" s="28" t="str">
        <x:v>https://github.com/Botts-Innovative-Research/osh-oakridge-modules/tree/817f408a017302387f4f427b9b7f8ec5bcb62c70</x:v>
      </x:c>
      <x:c r="M144" s="28" t="str">
        <x:v>2026-10-22</x:v>
      </x:c>
      <x:c r="N144" s="28" t="str">
        <x:v>Research selection is not mandated adoption or certification</x:v>
      </x:c>
    </x:row>
    <x:row r="145" ht="175" customHeight="1">
      <x:c r="A145" s="28" t="str">
        <x:v>S140</x:v>
      </x:c>
      <x:c r="B145" s="28" t="str">
        <x:v>OSCAR build-node and System Documentation Manual 3.5 – pinned bundle</x:v>
      </x:c>
      <x:c r="C145" s="28" t="str">
        <x:v>Not assessed in the authoritative export for this increment</x:v>
      </x:c>
      <x:c r="D145" s="28" t="str">
        <x:v>Not established by this review</x:v>
      </x:c>
      <x:c r="E145" s="28" t="str">
        <x:v>Not established by this review</x:v>
      </x:c>
      <x:c r="F145" s="28" t="str">
        <x:v>No new DISR lookup or row assertion</x:v>
      </x:c>
      <x:c r="G145" s="28" t="str">
        <x:v>No adoption change proposed</x:v>
      </x:c>
      <x:c r="H145" s="28" t="str">
        <x:v>Not established by this review</x:v>
      </x:c>
      <x:c r="I145" s="28" t="str">
        <x:v>No new NATO evidence</x:v>
      </x:c>
      <x:c r="J145" s="28" t="str">
        <x:v>No adoption change proposed</x:v>
      </x:c>
      <x:c r="K145" s="28" t="str">
        <x:v>REUSE OPERATIONAL CONTEXT</x:v>
      </x:c>
      <x:c r="L145" s="28" t="str">
        <x:v>https://github.com/Botts-Innovative-Research/osh-oakridge-buildnode/tree/ab8b847b662152bd949157197182bfdf8c429d21</x:v>
      </x:c>
      <x:c r="M145" s="28" t="str">
        <x:v>2026-10-22</x:v>
      </x:c>
      <x:c r="N145" s="28" t="str">
        <x:v>Research selection is not mandated adoption or certification</x:v>
      </x:c>
    </x:row>
  </x:sheetData>
  <x:mergeCells>
    <x:mergeCell ref="A1:N1"/>
    <x:mergeCell ref="A3:N3"/>
  </x:mergeCells>
  <x:pageMargins left="0.7" right="0.7" top="0.75" bottom="0.75" header="0.3" footer="0.3"/>
  <x:tableParts count="1">
    <x:tablePart xmlns:r="http://schemas.openxmlformats.org/officeDocument/2006/relationships" r:id="Rc2303a8bf1cb414e"/>
  </x:tableParts>
</x:worksheet>
</file>

<file path=xl/worksheets/sheet9.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1" hidden="0" customWidth="1"/>
    <x:col min="2" max="2" width="43" hidden="0" customWidth="1"/>
    <x:col min="3" max="3" width="39" hidden="0" customWidth="1"/>
    <x:col min="4" max="4" width="43" hidden="0" customWidth="1"/>
    <x:col min="5" max="5" width="52" hidden="0" customWidth="1"/>
    <x:col min="6" max="6" width="63" hidden="0" customWidth="1"/>
    <x:col min="7" max="7" width="54" hidden="0" customWidth="1"/>
    <x:col min="8" max="8" width="45" hidden="0" customWidth="1"/>
  </x:cols>
  <x:sheetData>
    <x:row r="1" ht="30" customHeight="1">
      <x:c r="A1" s="95" t="str">
        <x:v>MERLIN | Research source register v0.10 | 22 October 2026</x:v>
      </x:c>
      <x:c r="B1" s="95"/>
      <x:c r="C1" s="95"/>
      <x:c r="D1" s="95"/>
      <x:c r="E1" s="95"/>
      <x:c r="F1" s="95"/>
      <x:c r="G1" s="95"/>
      <x:c r="H1" s="95"/>
    </x:row>
    <x:row r="2" ht="30" customHeight="1">
      <x:c r="A2" s="98" t="str">
        <x:v>S01–S124 retained; S125–S140 added. Technical profile v0.3.5 unchanged. Read the OSCAR Summary and source-access boundaries.</x:v>
      </x:c>
      <x:c r="B2" s="98"/>
      <x:c r="C2" s="98"/>
      <x:c r="D2" s="98"/>
      <x:c r="E2" s="98"/>
      <x:c r="F2" s="98"/>
      <x:c r="G2" s="98"/>
      <x:c r="H2" s="98"/>
    </x:row>
    <x:row r="3" ht="30" customHeight="1">
      <x:c r="A3" s="241" t="str">
        <x:v>v0.7 • Current family-level scope in the paper §1 and Family Applicability; source IDs remain stable.</x:v>
      </x:c>
      <x:c r="B3" s="241"/>
      <x:c r="C3" s="241"/>
      <x:c r="D3" s="241"/>
      <x:c r="E3" s="241"/>
      <x:c r="F3" s="241"/>
      <x:c r="G3" s="241"/>
      <x:c r="H3" s="241"/>
    </x:row>
    <x:row r="4" ht="9" customHeight="1">
      <x:c r="A4" s="89"/>
      <x:c r="B4" s="89"/>
      <x:c r="C4" s="89"/>
      <x:c r="D4" s="89"/>
      <x:c r="E4" s="89"/>
      <x:c r="F4" s="89"/>
      <x:c r="G4" s="89"/>
      <x:c r="H4" s="89"/>
    </x:row>
    <x:row r="5" ht="38" customHeight="1">
      <x:c r="A5" s="308" t="str">
        <x:v>ID</x:v>
      </x:c>
      <x:c r="B5" s="308" t="str">
        <x:v>Source / artifact</x:v>
      </x:c>
      <x:c r="C5" s="308" t="str">
        <x:v>Intended audience</x:v>
      </x:c>
      <x:c r="D5" s="308" t="str">
        <x:v>Proposed reuse category</x:v>
      </x:c>
      <x:c r="E5" s="308" t="str">
        <x:v>Inspected provisions</x:v>
      </x:c>
      <x:c r="F5" s="308" t="str">
        <x:v>Narrative intended-use / conformance assessment</x:v>
      </x:c>
      <x:c r="G5" s="308" t="str">
        <x:v>Source URL / locator</x:v>
      </x:c>
      <x:c r="H5" s="308" t="str">
        <x:v>Assessment boundary</x:v>
      </x:c>
    </x:row>
    <x:row r="6" ht="244" hidden="0" customHeight="1">
      <x:c r="A6" s="309" t="str">
        <x:v>S01</x:v>
      </x:c>
      <x:c r="B6" s="310" t="str">
        <x:v>OGC SensorML Encoding Standard</x:v>
      </x:c>
      <x:c r="C6" s="310" t="str">
        <x:v>Sensor/process producers, integrators, discovery and analysis clients</x:v>
      </x:c>
      <x:c r="D6" s="310" t="str">
        <x:v>Native OGC baseline</x:v>
      </x:c>
      <x:c r="E6" s="310" t="str">
        <x:v>§2; §9 /req/json-core and the applicable process/physical classes; inherited model and SWE dependencies; Annex A.3</x:v>
      </x:c>
      <x:c r="F6" s="310" t="str">
        <x:v>SensorML serves developers and users of sensor/process descriptions, including inventory, discovery, observation interpretation, and executable processing. Its scope encourages shared community semantics and specifically envisions profiles of small atomic processes; that is not an instruction that every implementer must create a new profile. Using an agreed definition in an existing descriptive property can be content specialization rather than an extension of the base model (Open Geospatial Consortium 2025c, §1). Conformance remains bounded: §2 requires SensorML extensions to conform to OGC ModSpec, and the selected target must satisfy its applicable requirements and tests. The separate metadata-extension mechanism uses a separate namespace and cannot be necessary for, or alter, process execution; generic SensorML software need not interpret it. Therefore a proposed MERLIN content agreement must identify its target, dependencies, semantics, and tests, while any changed structure needs a separately justified encoding/extension treatment (Open Geospatial Consortium 2025c, §§2, 7.1, 8.2.2.1, 9, annex A; Open Geospatial Consortium 2009b, §§4.16, 6.5).</x:v>
      </x:c>
      <x:c r="G6" s="310" t="str">
        <x:v>https://docs.ogc.org/is/23-000/23-000.html</x:v>
      </x:c>
      <x:c r="H6" s="310" t="str">
        <x:v>Native OGC descriptive baseline; approved refinements through v0.3.5. Later selected checks: §§8.8.1–8.8.2, Mode/DescribedObject/Settings and DerivedProperty schemas; see S59.</x:v>
      </x:c>
    </x:row>
    <x:row r="7" ht="114" hidden="0" customHeight="1">
      <x:c r="A7" s="312" t="str">
        <x:v>S02</x:v>
      </x:c>
      <x:c r="B7" s="313" t="str">
        <x:v>OGC SWE Common Data Model Encoding Standard</x:v>
      </x:c>
      <x:c r="C7" s="313" t="str">
        <x:v>Structured-data producers and consumers</x:v>
      </x:c>
      <x:c r="D7" s="313" t="str">
        <x:v>Native OGC baseline</x:v>
      </x:c>
      <x:c r="E7" s="313" t="str">
        <x:v>§9 component classes; /req/json-simple-components/definition-resolvable; inline constraints; SensorML dependency on /req/json-block-components</x:v>
      </x:c>
      <x:c r="F7" s="313" t="str">
        <x:v>SWE Common is intended for developers exchanging self-described structured values, not as a catalog of every domain property. The standard separates labels, semantic definitions, component structure, and encoding, and permits definitions for aggregates. A domain group should therefore use those existing mechanisms with agreed component meanings and units; adding an attractive label or arbitrary JSON fields is not equivalent to a reusable content contract (Open Geospatial Consortium 2025d, §§7.3, 8.3, 9–10).</x:v>
      </x:c>
      <x:c r="G7" s="313" t="str">
        <x:v>https://docs.ogc.org/is/24-014/24-014.html</x:v>
      </x:c>
      <x:c r="H7" s="313" t="str">
        <x:v>Native OGC value/encoding baseline; bounded unit/nil interpretation applied in v0.3.5. Later selected checks §§8.2.16/9.1.15 and supporting Quantity/basicTypes schemas S123.</x:v>
      </x:c>
    </x:row>
    <x:row r="8" ht="127" hidden="0" customHeight="1">
      <x:c r="A8" s="309" t="str">
        <x:v>S03</x:v>
      </x:c>
      <x:c r="B8" s="310" t="str">
        <x:v>OGC API – Connected Systems – Part 1: Feature Resources</x:v>
      </x:c>
      <x:c r="C8" s="310" t="str">
        <x:v>API server/client developers and resource discovery consumers</x:v>
      </x:c>
      <x:c r="D8" s="310" t="str">
        <x:v>Native OGC baseline</x:v>
      </x:c>
      <x:c r="E8" s="310" t="str">
        <x:v>/req/api-common; /req/system-features; /req/sensorml; optional /req/subsystems only when selected; prerequisites and conditional requirements</x:v>
      </x:c>
      <x:c r="F8" s="310" t="str">
        <x:v>Part 1 targets implementers of discoverable feature-resource services and their clients. It extends the OGC API–Features approach while distinguishing systems, procedures, deployments, and property definitions; the conformance framework specifies which resource capabilities are supported. A MERLIN domain agreement can select and constrain supported content, but must preserve the selected resource meanings, links, dependencies, and conformance claims rather than invent a parallel resource contract under familiar OGC names (Open Geospatial Consortium 2025a, §§1–2, 7, 9–13).</x:v>
      </x:c>
      <x:c r="G8" s="310" t="str">
        <x:v>https://docs.ogc.org/is/23-001/23-001.html</x:v>
      </x:c>
      <x:c r="H8" s="310" t="str">
        <x:v>Native OGC resource foundation; R01/R02/R11 clarifications applied. Later selected checks §§14–15 and §19 sampling/property encodings; supporting schema S121.</x:v>
      </x:c>
    </x:row>
    <x:row r="9" ht="127" hidden="0" customHeight="1">
      <x:c r="A9" s="312" t="str">
        <x:v>S04</x:v>
      </x:c>
      <x:c r="B9" s="313" t="str">
        <x:v>OGC API – Connected Systems – Part 2: Dynamic Data</x:v>
      </x:c>
      <x:c r="C9" s="313" t="str">
        <x:v>Observation and command producers/consumers</x:v>
      </x:c>
      <x:c r="D9" s="313" t="str">
        <x:v>Native OGC baseline</x:v>
      </x:c>
      <x:c r="E9" s="313" t="str">
        <x:v>§2; relevant Datastream/Observation or ControlStream/Command classes, encoding classes and dependencies</x:v>
      </x:c>
      <x:c r="F9" s="313" t="str">
        <x:v>Part 2 serves producers and consumers of observations and command-related interactions through datastreams and controlstreams. Its resource and schema model determines where dynamic values and command parameters belong; domain definitions supply meaning within, rather than instead of, that model. A proposed mapping must keep an observation distinct from a command and preserve the applicable schema, subject, and time semantics, without inferring authorization or device execution from a descriptive field (Open Geospatial Consortium 2025b, §§1–2, 9–10, 16).</x:v>
      </x:c>
      <x:c r="G9" s="313" t="str">
        <x:v>https://docs.ogc.org/is/23-002/23-002.html</x:v>
      </x:c>
      <x:c r="H9" s="313" t="str">
        <x:v>Native OGC dynamic-data/control foundation; R10/R11/R12/R20 refinements applied. Later selected checks §9.2/9.7 and §10; supporting DataStream/Observation schemas S122; no full validation claim.</x:v>
      </x:c>
    </x:row>
    <x:row r="10" ht="140" hidden="0" customHeight="1">
      <x:c r="A10" s="309" t="str">
        <x:v>S05</x:v>
      </x:c>
      <x:c r="B10" s="310" t="str">
        <x:v>OPC Unified Architecture – Part 100: Devices</x:v>
      </x:c>
      <x:c r="C10" s="310" t="str">
        <x:v>Device vendors and OPC UA companion-model authors</x:v>
      </x:c>
      <x:c r="D10" s="310" t="str">
        <x:v>Conditional native-source comparator; no preferred architecture</x:v>
      </x:c>
      <x:c r="E10" s="310" t="str">
        <x:v>Devices §11 profiles/ConformanceUnits; Part 7 §4 profile and mandatory-unit obligations</x:v>
      </x:c>
      <x:c r="F10" s="310" t="str">
        <x:v>OPC UA Devices is a foundation for device vendors, integrators, and companion-specification authors working in OPC UA. Annex C explicitly discusses combining different aspects of one device, addressing repeated information, and selective use of interfaces or AddIns; that is informative guidance within the OPC UA AddressSpace. A SensorML translation is therefore a new binding to evaluate, not the native composition described by the annex, and cannot claim OPC UA Devices conformance merely because several property names were retained (OPC Foundation 2025, annex C).</x:v>
      </x:c>
      <x:c r="G10" s="310" t="str">
        <x:v>https://reference.opcfoundation.org/specs/OPC-10000-100/v1.05.0</x:v>
      </x:c>
      <x:c r="H10" s="310" t="str">
        <x:v>The present proposal borrows a composition precedent; it does not implement OPC UA Devices. A native alternative would identify an OPC-facing component, the applicable Devices profile and ConformanceUnits, and their dependencies before testing. A CSAPI bridge would additionally need its own OGC-side and transformation assessments; copying Devices concepts into SensorML satisfies neither side by itself (OPC Foundation 2025, §11, annex C; n.d., Part 7, §4).</x:v>
      </x:c>
    </x:row>
    <x:row r="11" ht="140" hidden="0" customHeight="1">
      <x:c r="A11" s="312" t="str">
        <x:v>S06</x:v>
      </x:c>
      <x:c r="B11" s="313" t="str">
        <x:v>OPC UA for Process Automation Devices – PA-DIM</x:v>
      </x:c>
      <x:c r="C11" s="313" t="str">
        <x:v>Process-automation field-device vendors and integrators</x:v>
      </x:c>
      <x:c r="D11" s="313" t="str">
        <x:v>Conditional process-device / PA-DIM partner comparator</x:v>
      </x:c>
      <x:c r="E11" s="313" t="str">
        <x:v>PA-DIM 1.02.0 scope, PADIMType mandatory/optional declarations and inherited Devices obligations</x:v>
      </x:c>
      <x:c r="F11" s="313" t="str">
        <x:v>PA-DIM addresses process-automation field devices and the systems integrating their information. Its PADIMType is defined in relation to the OPC UA Devices model, with specified mandatory and optional information, rather than as a free-standing universal sensor ontology. Reusing selected identity, health, or signal concepts in CSAPI is a proposed semantic binding; a native PA-DIM conformance claim would require the selected specification’s actual model obligations and dependencies (OPC Foundation and FieldComm Group 2025, §§1, 7.2).</x:v>
      </x:c>
      <x:c r="G11" s="313" t="str">
        <x:v>https://reference.opcfoundation.org/specs/OPC-30081</x:v>
      </x:c>
      <x:c r="H11" s="313" t="str">
        <x:v>PA-DIM is not presently proposed as a native implementation. A valid proposal would name the implemented PA-DIM type/profile, applicable mandatory declarations, inherited Devices requirements and corresponding assessments. A selected-property OGC translation would instead be a newly authored mapping, with its own coverage and loss statements, even when individual definitions are preserved accurately (OPC Foundation and FieldComm Group 2025, §§1, 7.2).</x:v>
      </x:c>
    </x:row>
    <x:row r="12" ht="140" hidden="0" customHeight="1">
      <x:c r="A12" s="309" t="str">
        <x:v>S07</x:v>
      </x:c>
      <x:c r="B12" s="310" t="str">
        <x:v>Specification of the Asset Administration Shell – Part 1: Metamodel</x:v>
      </x:c>
      <x:c r="C12" s="310" t="str">
        <x:v>Industrial asset owners, manufacturers and digital-twin integrators</x:v>
      </x:c>
      <x:c r="D12" s="310" t="str">
        <x:v>Metamodel context; specific templates assessed in S36–S39</x:v>
      </x:c>
      <x:c r="E12" s="310" t="str">
        <x:v>AAS metamodel 3.2 constraints plus exact template/serialization obligations; API obligations only if that API is implemented</x:v>
      </x:c>
      <x:c r="F12" s="310" t="str">
        <x:v>AAS is intended for exchanging asset information across industrial digital-twin participants. The metamodel organizes information into submodels and supports semantic references and concept descriptions, while its overview recommends standardized data-specification templates and warns that proprietary templates do not ensure interoperability. A SensorML record inspired by a submodel is not automatically an AAS instance or a conformant IDTA submodel; a claimed reuse must retain the chosen template’s semantics and constraints or be identified as a separate mapping (Industrial Digital Twin Association 2026b, “Overview Metamodel” and “Common Attributes”).</x:v>
      </x:c>
      <x:c r="G12" s="310" t="str">
        <x:v>https://industrialdigitaltwin.io/aas-specifications/IDTA-01001/v3.2/index.html</x:v>
      </x:c>
      <x:c r="H12" s="310" t="str">
        <x:v>A native AAS proposal would identify an AAS artifact, the applicable metamodel/serialization and the selected template. A file-based artifact is possible for the examined templates; some interactive features require the separately specified API form. A SensorML description merely organized like an AAS submodel would instead be a new mapping or design borrowing, not native AAS implementation (Industrial Digital Twin Association 2026a, §1.5; 2024, §1.5.1).</x:v>
      </x:c>
    </x:row>
    <x:row r="13" ht="127" hidden="0" customHeight="1">
      <x:c r="A13" s="312" t="str">
        <x:v>S08</x:v>
      </x:c>
      <x:c r="B13" s="313" t="str">
        <x:v>A YANG Data Model for Hardware Management</x:v>
      </x:c>
      <x:c r="C13" s="313" t="str">
        <x:v>Network-management device and management-system implementers</x:v>
      </x:c>
      <x:c r="D13" s="313" t="str">
        <x:v>Conditional native hardware model; no implementation selected for these cases</x:v>
      </x:c>
      <x:c r="E13" s="313" t="str">
        <x:v>RFC 8348 §§3–7; imported YANG modules, selected features, NMDA behavior; conditional ENTITY-MIB mapping obligations</x:v>
      </x:c>
      <x:c r="F13" s="313" t="str">
        <x:v>RFC 8348 concerns identified managed hardware and its configuration/state. The manual choices, reported labels and model functions do not establish an added native inventory need. A selected concept in SensorML would remain a separately authored OGC binding.</x:v>
      </x:c>
      <x:c r="G13" s="313" t="str">
        <x:v>https://www.rfc-editor.org/rfc/rfc8348.html</x:v>
      </x:c>
      <x:c r="H13" s="313" t="str">
        <x:v>RFC 8348 supplies a concrete candidate contract: the ietf-hardware module and its specified management behavior. A native implementation must assess the module, imported dependencies, selected features and applicable mapping rules. Under a SensorML-only path it would instead supply donor semantics to a new mapping, not become an implemented YANG management standard (Internet Engineering Task Force 2018, §§3–7).</x:v>
      </x:c>
    </x:row>
    <x:row r="14" ht="153" hidden="0" customHeight="1">
      <x:c r="A14" s="309" t="str">
        <x:v>S09</x:v>
      </x:c>
      <x:c r="B14" s="310" t="str">
        <x:v>Definition of Managed Objects for Battery Monitoring</x:v>
      </x:c>
      <x:c r="C14" s="310" t="str">
        <x:v>Network battery-management implementations</x:v>
      </x:c>
      <x:c r="D14" s="310" t="str">
        <x:v>Bounded battery semantic reference; sibling work retained</x:v>
      </x:c>
      <x:c r="E14" s="310" t="str">
        <x:v>RFC 7577 managed-object definitions and module compliance obligations in their SNMP management context</x:v>
      </x:c>
      <x:c r="F14" s="310" t="str">
        <x:v>The Battery MIB was designed to expose existing battery instrumentation to network-management systems, with monitoring and limited control, not to define the battery-controller hardware interface. It gives battery-specific meanings and identification conventions and uses the SNMP/SMIv2 management framework; §3.2.1 and §6.2 provide a governed route for technology identifiers. MERLIN could map a verified quantity into SWE Common, but that would be a documented reuse of meaning rather than an implementation of the Battery MIB, and it cannot turn an unexplained legacy percentage into a specified charge or capacity (Internet Engineering Task Force 2015, §§1–3, 6.2).</x:v>
      </x:c>
      <x:c r="G14" s="310" t="str">
        <x:v>https://www.rfc-editor.org/rfc/rfc7577.html</x:v>
      </x:c>
      <x:c r="H14" s="310" t="str">
        <x:v>Selected battery semantic donor; one field-conversion example applied, not native BATTERY-MIB implementation. RFC 7577 §5 batteryActualVoltage: millivolts and 0xFFFFFFFF undetermined; v0.3.5 auxiliary example.</x:v>
      </x:c>
    </x:row>
    <x:row r="15" ht="127" hidden="0" customHeight="1">
      <x:c r="A15" s="312" t="str">
        <x:v>S10</x:v>
      </x:c>
      <x:c r="B15" s="313" t="str">
        <x:v>Energy Management Framework</x:v>
      </x:c>
      <x:c r="C15" s="313" t="str">
        <x:v>Energy-management framework and instrumentation designers</x:v>
      </x:c>
      <x:c r="D15" s="313" t="str">
        <x:v>Informative energy-relationship reference</x:v>
      </x:c>
      <x:c r="E15" s="313" t="str">
        <x:v>RFC 7326 framework and relationship definitions; separately selected implementing specifications would supply native obligations</x:v>
      </x:c>
      <x:c r="F15" s="313" t="str">
        <x:v>RFC 7326 is an Informational energy-management framework for organizing energy objects and relationships across management environments. Its relationship model supplies distinctions useful for separating power supply from physical containment, but the framework is not itself an implementation of all associated MIB modules. Reuse in MERLIN should preserve the selected relationship’s parties and meaning and be called a proposed OGC mapping, not energy-management protocol conformance (Internet Engineering Task Force 2014, scope and Energy Object relationships).</x:v>
      </x:c>
      <x:c r="G15" s="313" t="str">
        <x:v>https://www.rfc-editor.org/rfc/rfc7326.html</x:v>
      </x:c>
      <x:c r="H15" s="313" t="str">
        <x:v>R16 typed powers/meters/aggregates applied in v0.3.2 as MERLIN-authored OGC binding. Detailed batteries/interfaces/charging and full operating-arrangement specialization remain open.</x:v>
      </x:c>
    </x:row>
    <x:row r="16" ht="140" hidden="0" customHeight="1">
      <x:c r="A16" s="309" t="str">
        <x:v>S11</x:v>
      </x:c>
      <x:c r="B16" s="310" t="str">
        <x:v>Web of Things (WoT) Architecture 1.1</x:v>
      </x:c>
      <x:c r="C16" s="310" t="str">
        <x:v>Cross-platform IoT integrators</x:v>
      </x:c>
      <x:c r="D16" s="310" t="str">
        <x:v>Architecture comparator; no additional WoT layer selected</x:v>
      </x:c>
      <x:c r="E16" s="310" t="str">
        <x:v>WoT Architecture 1.1 statements do not substitute for a selected Thing Description/binding/profile contract</x:v>
      </x:c>
      <x:c r="F16" s="310" t="str">
        <x:v>WoT Architecture targets integration across heterogeneous IoT platforms through reusable descriptions and interactions. It explicitly treats external domain vocabularies as optional additions and names examples including SAREF and SSN, so domain semantics are a designed extension point rather than a problem solved by the architecture alone. This supports the general method of combining a framework with domain terms, but it does not establish that CSAPI is a WoT binding or that an OGC resource is automatically a conforming Thing Description (World Wide Web Consortium 2023, §§6.1.1.2, 7.1–7.3).</x:v>
      </x:c>
      <x:c r="G16" s="310" t="str">
        <x:v>https://www.w3.org/TR/2023/REC-wot-architecture11-20231205/</x:v>
      </x:c>
      <x:c r="H16" s="310" t="str">
        <x:v>WoT Architecture remains background for separating interaction descriptions from domain vocabulary. The research has not selected a Thing Description implementation, binding or profile, so it cannot claim a native WoT implementation. Such a proposal would require the corresponding normative artifact and its requirements, rather than conformance inferred from this architecture discussion (World Wide Web Consortium 2023, §§6–7).</x:v>
      </x:c>
    </x:row>
    <x:row r="17" ht="140" hidden="0" customHeight="1">
      <x:c r="A17" s="312" t="str">
        <x:v>S12</x:v>
      </x:c>
      <x:c r="B17" s="313" t="str">
        <x:v>SAREF: The Smart Applications REFerence Ontology</x:v>
      </x:c>
      <x:c r="C17" s="313" t="str">
        <x:v>Smart-application ontology and domain-extension authors</x:v>
      </x:c>
      <x:c r="D17" s="313" t="str">
        <x:v>Targeted semantic comparator; no wholesale ontology adoption</x:v>
      </x:c>
      <x:c r="E17" s="313" t="str">
        <x:v>Exact term definitions, axioms and specialization/alignment rules of the selected ontology module</x:v>
      </x:c>
      <x:c r="F17" s="313" t="str">
        <x:v>SAREF provides a reference ontology for smart applications, with domain extensions rather than one exhaustive device description. Its extension family and concept definitions are evidence of semantic specialization, not a license to treat every similarly named SOSA/SSN term as equivalent. A MERLIN reuse should select the exact term and release, preserve its domain/range and relations, and justify any alignment; that work remains distinct from translating SAREF terminology into a label in a SensorML document (European Telecommunications Standards Institute 2024, introduction, term definitions, and references to domain extensions).</x:v>
      </x:c>
      <x:c r="G17" s="313" t="str">
        <x:v>https://saref.etsi.org/core/v4.1.1/</x:v>
      </x:c>
      <x:c r="H17" s="313" t="str">
        <x:v>SAREF’s possible target is an assertion/model using specified terms and axioms, not necessarily a protocol conformance class. The proposed use must identify those assertions and assess semantic consistency; a shape or closed-world validation contract would be additional work unless supplied by the selected source. No such alignment has been adopted for MERLIN (European Telecommunications Standards Institute 2024, SAREF Core 4.1.1).</x:v>
      </x:c>
    </x:row>
    <x:row r="18" ht="140" hidden="0" customHeight="1">
      <x:c r="A18" s="309" t="str">
        <x:v>S13</x:v>
      </x:c>
      <x:c r="B18" s="310" t="str">
        <x:v>Semantic Sensor Network Ontology</x:v>
      </x:c>
      <x:c r="C18" s="310" t="str">
        <x:v>Semantic sensor/actuator/sampling data publishers and ontology integrators</x:v>
      </x:c>
      <x:c r="D18" s="310" t="str">
        <x:v>OGC semantic foundation; pinned 2017 background</x:v>
      </x:c>
      <x:c r="E18" s="310" t="str">
        <x:v>Module-specific class/property meanings and axioms; CSAPI alignment must respect its own required types</x:v>
      </x:c>
      <x:c r="F18" s="310" t="str">
        <x:v>The 2017 SSN Recommendation provides a modular ontology, with a lightweight SOSA core and additional SSN axioms, for describing sensing, actuation, sampling, and associated entities. Reuse must distinguish the selected modules and their actual class/property meanings; a local label is not an ontology assertion. In particular, the 2017 edition’s ssn:System must not be silently treated as a later edition’s differently organized term, and referencing the ontology does not require MERLIN to deploy RDF infrastructure or establish a new equivalence without evidence (World Wide Web Consortium 2017, §§3–4).</x:v>
      </x:c>
      <x:c r="G18" s="310" t="str">
        <x:v>https://www.w3.org/TR/2017/REC-vocab-ssn-20171019/</x:v>
      </x:c>
      <x:c r="H18" s="310" t="str">
        <x:v>The possible implementation claim concerns use of specific SOSA/SSN semantics, not a native sensor-management protocol. The research must identify the module and assertions being relied upon and assess their meanings and applicable axioms. An OGC JSON representation is not automatically an RDF implementation, and a separate validation shape must not be attributed to the ontology without evidence (World Wide Web Consortium 2017, module and term definitions).</x:v>
      </x:c>
    </x:row>
    <x:row r="19" ht="140" hidden="0" customHeight="1">
      <x:c r="A19" s="312" t="str">
        <x:v>S14</x:v>
      </x:c>
      <x:c r="B19" s="313" t="str">
        <x:v>The Unified Code for Units of Measure</x:v>
      </x:c>
      <x:c r="C19" s="313" t="str">
        <x:v>Machine-readable scientific and technical quantity exchange</x:v>
      </x:c>
      <x:c r="D19" s="313" t="str">
        <x:v>Unit convention; exact OGC dependency retained</x:v>
      </x:c>
      <x:c r="E19" s="313" t="str">
        <x:v>UCUM syntax/semantics for the declared edition; SensorML 3.0 cites UCUM 2.1 while this entry inspected 2.2</x:v>
      </x:c>
      <x:c r="F19" s="313" t="str">
        <x:v>UCUM is designed to communicate quantities with unambiguous machine-readable unit expressions; its syntax is not the same thing as a human-facing unit label or a definition of the measured property. It is already named among SensorML’s normative references, but that reference is to UCUM 2.1, whereas this entry inspected 2.2. Reusing UCUM units is therefore close to the OGC framework’s intended design, while substituting editions, changing code meaning, or treating a unit match as property equivalence needs explicit compatibility review (Schadow and McDonald 2024, “Scope” and “Syntax Rules”; Open Geospatial Consortium 2025c, §3).</x:v>
      </x:c>
      <x:c r="G19" s="313" t="str">
        <x:v>https://ucum.org/ucum</x:v>
      </x:c>
      <x:c r="H19" s="313" t="str">
        <x:v>UCUM can be a genuine implementation dependency because encoded unit strings and processing have defined syntax and meaning. The assessment must identify the edition and the operations actually supported, rather than treat a familiar display abbreviation as a valid code. The 2.1 reference in SensorML and the inspected 2.2 text remain an explicit dependency question, not proof that either is unsuitable (Schadow and McDonald 2024; Open Geospatial Consortium 2025c, §3).</x:v>
      </x:c>
    </x:row>
    <x:row r="20" ht="114" hidden="0" customHeight="1">
      <x:c r="A20" s="309" t="str">
        <x:v>S15</x:v>
      </x:c>
      <x:c r="B20" s="310" t="str">
        <x:v>Voltage</x:v>
      </x:c>
      <x:c r="C20" s="310" t="str">
        <x:v>Quantity semantics publishers and consumers</x:v>
      </x:c>
      <x:c r="D20" s="310" t="str">
        <x:v>Quantity-kind reference, not a device model</x:v>
      </x:c>
      <x:c r="E20" s="310" t="str">
        <x:v>The referenced term meaning and the receiving SWE/OGC representation requirements</x:v>
      </x:c>
      <x:c r="F20" s="310" t="str">
        <x:v>This QUDT record identifies the quantity kind Voltage; it does not identify which battery, terminal, time, operating condition, or telemetry channel a particular value concerns. Referencing the quantity-kind URI is a proposed semantic use consistent with the record’s descriptive role, but it is not a complete power-source model. A binding must still distinguish rated voltage from an actual reading and document units, subject, and any conversion separately (QUDT.org n.d., “Voltage”).</x:v>
      </x:c>
      <x:c r="G20" s="310" t="str">
        <x:v>https://qudt.org/vocab/quantitykind/Voltage</x:v>
      </x:c>
      <x:c r="H20" s="310" t="str">
        <x:v>The proposed use is a specific quantity-kind definition, not implementation of a complete device standard. Correct use requires the value to mean the referenced quantity and the receiving OGC representation to satisfy its own requirements. Broader QUDT conformance or model-coverage claims would exceed the inspected term-level evidence (QUDT.org n.d., “Voltage”).</x:v>
      </x:c>
    </x:row>
    <x:row r="21" ht="140" hidden="0" customHeight="1">
      <x:c r="A21" s="312" t="str">
        <x:v>S16</x:v>
      </x:c>
      <x:c r="B21" s="313" t="str">
        <x:v>MIMOSA OSA-EAI</x:v>
      </x:c>
      <x:c r="C21" s="313" t="str">
        <x:v>Enterprise physical-asset lifecycle application integrators</x:v>
      </x:c>
      <x:c r="D21" s="313" t="str">
        <x:v>Priority asset-lifecycle family; exact mandated package limit</x:v>
      </x:c>
      <x:c r="E21" s="313" t="str">
        <x:v>Applicable versioned normative schema, exchange and semantic requirements; overview does not enumerate them</x:v>
      </x:c>
      <x:c r="F21" s="313" t="str">
        <x:v>OSA-EAI addresses enterprise integration for physical-asset lifecycle information rather than sensor streaming alone. The official overview describes interoperable exchanges across asset-management applications, making it relevant to asset identity and lifecycle questions but not proof of any exact OGC mapping. Before claiming a conformant subset or reuse of a mandated edition, inspect that edition’s package, schemas, and exchange constraints; this web overview cannot supply them (MIMOSA n.d.-d).</x:v>
      </x:c>
      <x:c r="G21" s="313" t="str">
        <x:v>https://www.mimosa.org/mimosa-osa-eai/</x:v>
      </x:c>
      <x:c r="H21" s="313" t="str">
        <x:v>Keep OSA-EAI as a shortlisted lifecycle family, not an achieved native implementation. A native exchange would retain the selected edition’s information and exchange requirements; a CCOM-derived OGC representation would be a newly authored mapping unless a valid alternate realization is established. The inspected RC1 diagrams do not establish OSA-EAI 3.2.3a conformance, and no testing campaign is needed to state that boundary.</x:v>
      </x:c>
    </x:row>
    <x:row r="22" ht="140" hidden="0" customHeight="1">
      <x:c r="A22" s="309" t="str">
        <x:v>S17</x:v>
      </x:c>
      <x:c r="B22" s="310" t="str">
        <x:v>MIMOSA OSA-CBM</x:v>
      </x:c>
      <x:c r="C22" s="310" t="str">
        <x:v>Condition-based maintenance component and system integrators</x:v>
      </x:c>
      <x:c r="D22" s="310" t="str">
        <x:v>Conditional assessment/maintenance exchange candidate</x:v>
      </x:c>
      <x:c r="E22" s="310" t="str">
        <x:v>Applicable versioned interfaces, information structures and behavior; scope not established from overview alone</x:v>
      </x:c>
      <x:c r="F22" s="310" t="str">
        <x:v>The source expressly describes an information specification implementable through different technologies and distinguishes that specification from its technical interfaces. That leaves room to investigate a faithful information-model realization, not only a copy of one historical wire protocol. It does not by itself establish that an arbitrary SensorML record is such a realization; the selected model content still matters (MIMOSA n.d.-c).</x:v>
      </x:c>
      <x:c r="G22" s="310" t="str">
        <x:v>https://www.mimosa.org/mimosa-osa-cbm/</x:v>
      </x:c>
      <x:c r="H22" s="310" t="str">
        <x:v>The present disposition is conditional on an actual maintenance or assessment use, not a generic Status view. Implementing a selected information/interface contract would be different from merely displaying a fault flag, and a technology-neutral realization would need to preserve the source model rather than its labels alone. The exact 3.3.1 package remains an edition-specific evidence limit, not a reason to suspend the broader comparison.</x:v>
      </x:c>
    </x:row>
    <x:row r="23" ht="127" hidden="0" customHeight="1">
      <x:c r="A23" s="312" t="str">
        <x:v>S18</x:v>
      </x:c>
      <x:c r="B23" s="313" t="str">
        <x:v>OIIE Scenario 11 – Publish Asset Removal/Installation Events from MMS to O&amp;M</x:v>
      </x:c>
      <x:c r="C23" s="313" t="str">
        <x:v>Maintenance and operations application integrators</x:v>
      </x:c>
      <x:c r="D23" s="313" t="str">
        <x:v>Installation/removal pattern; no native OIIE exchange selected</x:v>
      </x:c>
      <x:c r="E23" s="313" t="str">
        <x:v>Scenario participants/events; exact implementing package and messages would need separate identification</x:v>
      </x:c>
      <x:c r="F23" s="313" t="str">
        <x:v>Scenario 11 is a maintenance-to-operations exchange of asset removal or installation events. Its participants and event content explain how an identified serialized asset, functional location, and event time can be coordinated between applications, rather than defining a generic military assignment. Using that pattern for emplacement would be a proposed analogy and mapping that must justify differences in role, event meaning, and lifecycle; the scenario does not establish that an AOI is a functional location or a mission plan is a work order (MIMOSA n.d.-e).</x:v>
      </x:c>
      <x:c r="G23" s="313" t="str">
        <x:v>https://www.mimosa.org/open-industrial-interoperability-ecosystem-oiie/oiie-use-cases/oiie-scenario-11-publish-asset-removalinstallation-events-from-mms-to-om/</x:v>
      </x:c>
      <x:c r="H23" s="313" t="str">
        <x:v>The scenario is currently evidence for an event pattern, not an implemented exchange. A native claim would require the actual versioned messages, participants and interaction obligations that realize the scenario. Representing a source installation event in SensorML would instead be an OGC-side design whose meaning and losses must be reviewed separately (MIMOSA n.d.-e, Scenario 11).</x:v>
      </x:c>
    </x:row>
    <x:row r="24" ht="127" hidden="0" customHeight="1">
      <x:c r="A24" s="309" t="str">
        <x:v>S19</x:v>
      </x:c>
      <x:c r="B24" s="310" t="str">
        <x:v>MIP Information Model 4.0 – Semantic Interoperability in Multinational Missions</x:v>
      </x:c>
      <x:c r="C24" s="310" t="str">
        <x:v>Multinational C2 information-model and exchange designers</x:v>
      </x:c>
      <x:c r="D24" s="310" t="str">
        <x:v>Separate operational-semantic lane; not an equipment parent</x:v>
      </x:c>
      <x:c r="E24" s="310" t="str">
        <x:v>Paper supplies design/tailoring context, not the complete authoritative release contract</x:v>
      </x:c>
      <x:c r="F24" s="310" t="str">
        <x:v>Gerz and Bau explain MIM as a model-based approach to semantic interoperability in multinational command-and-control settings, including the production of tailored exchange models. That is a documented intended use for derivation within the MIP approach, but the paper is not the complete MIM 4.0 release or its conformance contract. Reusing a role or organization concept in MERLIN requires the authoritative model element and applicable tailoring rules; it does not make a SensorML payload a compliant MIP exchange (Gerz and Bau 2016).</x:v>
      </x:c>
      <x:c r="G24" s="310" t="str">
        <x:v>https://dodccrp-testorg.squarespace.com/s/paper_51.pdf</x:v>
      </x:c>
      <x:c r="H24" s="310" t="str">
        <x:v>This paper is not the normative artifact that MERLIN would implement. A genuine MIM proposal would name an authoritative release and its applicable tailoring, consistency and exchange obligations. Borrowing an operational concept from the paper supports only a research-informed mapping, not MIM or JC3IEDM conformance (Gerz and Bau 2016).</x:v>
      </x:c>
    </x:row>
    <x:row r="25" ht="127" hidden="0" customHeight="1">
      <x:c r="A25" s="312" t="str">
        <x:v>S20</x:v>
      </x:c>
      <x:c r="B25" s="313" t="str">
        <x:v>Semantically Enhancing SensorML with Controlled Vocabularies in the Marine Domain</x:v>
      </x:c>
      <x:c r="C25" s="313" t="str">
        <x:v>Marine sensor metadata and vocabulary integrators</x:v>
      </x:c>
      <x:c r="D25" s="313" t="str">
        <x:v>Historical evidence for coordinated OGC content</x:v>
      </x:c>
      <x:c r="E25" s="313" t="str">
        <x:v>Paper’s documented community work; authoritative profile artifacts must supply any adopted rules</x:v>
      </x:c>
      <x:c r="F25" s="313" t="str">
        <x:v>This paper addresses marine sensor-description interoperability by combining SensorML with agreed controlled vocabularies. It is implementation-community evidence for reducing semantic variation within an existing framework, not authority for an arbitrary replacement of its data model. For MERLIN, the transferable result is the need to agree on term identity and descriptive conventions; the marine domain vocabulary and historical SensorML encoding cannot be assumed appropriate without a new binding assessment (Kokkinaki et al. 2016).</x:v>
      </x:c>
      <x:c r="G25" s="313" t="str">
        <x:v>https://ceur-ws.org/Vol-1762/Kokkinaki.pdf</x:v>
      </x:c>
      <x:c r="H25" s="313" t="str">
        <x:v>The paper informs how a community coordinated semantics, but it is not the implementation contract proposed for MERLIN. Any reusable rule must be recovered from its authoritative artifact, checked against the current OGC requirements and justified by our task. The present claim is methodological learning, not implementation of the marine community’s historical profile (Kokkinaki et al. 2016).</x:v>
      </x:c>
    </x:row>
    <x:row r="26" ht="140" hidden="0" customHeight="1">
      <x:c r="A26" s="309" t="str">
        <x:v>S21</x:v>
      </x:c>
      <x:c r="B26" s="310" t="str">
        <x:v>Marine Profiles of the OGC Sensor Web Enablement Standards</x:v>
      </x:c>
      <x:c r="C26" s="310" t="str">
        <x:v>Marine SWE service and sensor metadata providers/clients</x:v>
      </x:c>
      <x:c r="D26" s="310" t="str">
        <x:v>Priority OGC content-agreement precedent</x:v>
      </x:c>
      <x:c r="E26" s="310" t="str">
        <x:v>Exact community profile version, service choices and XML-era constraints if later selected</x:v>
      </x:c>
      <x:c r="F26" s="310" t="str">
        <x:v>The community coordinates SensorML section contents and vocabulary use across marine information providers and clients. Its model/instance and attachment examples are more specific than a generic instruction to add semantics. The present work uses that content as historical precedent; a current SensorML 3.0 agreement would need to state its own applicable rules and mappings rather than claim to implement the entire historical proposal.</x:v>
      </x:c>
      <x:c r="G26" s="310" t="str">
        <x:v>https://odip.github.io/MarineProfilesForSWE/</x:v>
      </x:c>
      <x:c r="H26" s="310" t="str">
        <x:v>The recommendation is a current OGC description agreement informed by this precedent, not native implementation of the historical marine profile. Selected existing vocabulary definitions could be reused according to their actual meanings and terms, but translating the old arrangement would still produce a new binding. Its assessment obligations are described as part of that proposal and do not create a new testing workstream.</x:v>
      </x:c>
    </x:row>
    <x:row r="27" ht="127" hidden="0" customHeight="1">
      <x:c r="A27" s="312" t="str">
        <x:v>S22</x:v>
      </x:c>
      <x:c r="B27" s="313" t="str">
        <x:v>The Profiles Vocabulary</x:v>
      </x:c>
      <x:c r="C27" s="313" t="str">
        <x:v>Profile publishers and metadata consumers</x:v>
      </x:c>
      <x:c r="D27" s="313" t="str">
        <x:v>Profile-documentation guidance</x:v>
      </x:c>
      <x:c r="E27" s="313" t="str">
        <x:v>Profiles Vocabulary terms and relationships if actually used</x:v>
      </x:c>
      <x:c r="F27" s="313" t="str">
        <x:v>PROF is a vocabulary for describing profiles, their base specifications, and supporting artifacts such as schemas, guidance, and validation resources. It is a W3C Working Group Note, not a Recommendation, and its metadata does not itself validate the content it describes. MERLIN can borrow the distinction between a profile and its supporting resources without adopting RDF infrastructure; a claim of profile conformance still depends on the actual requirements of the referenced specifications (World Wide Web Consortium 2019, abstract and vocabulary definitions).</x:v>
      </x:c>
      <x:c r="G27" s="313" t="str">
        <x:v>https://www.w3.org/TR/2019/NOTE-dx-prof-20191218/</x:v>
      </x:c>
      <x:c r="H27" s="313" t="str">
        <x:v>The vocabulary could describe a profile and its supporting resources, but it cannot establish that the profile’s substantive requirements have been met. No RDF registry or profile-description implementation is selected. Its current role is documentary guidance; any later use must identify the metadata assertions separately from the implementation being assessed (World Wide Web Consortium 2019).</x:v>
      </x:c>
    </x:row>
    <x:row r="28" ht="127" hidden="0" customHeight="1">
      <x:c r="A28" s="309" t="str">
        <x:v>S23</x:v>
      </x:c>
      <x:c r="B28" s="310" t="str">
        <x:v>Data Strategy for the Alliance</x:v>
      </x:c>
      <x:c r="C28" s="310" t="str">
        <x:v>Alliance data governance and capability stakeholders</x:v>
      </x:c>
      <x:c r="D28" s="310" t="str">
        <x:v>Policy context, not implementation model</x:v>
      </x:c>
      <x:c r="E28" s="310" t="str">
        <x:v>Policy objectives and responsible implementation decisions, not a device schema</x:v>
      </x:c>
      <x:c r="F28" s="310" t="str">
        <x:v>The Alliance strategy addresses data governance and use across NATO, including semantic work needed for interoperability. Its audience is broader than implementers of any one device schema, and its policy direction does not specify field-level bindings or certify a candidate ontology. It supports the purpose of investigating reusable meaning, while the actual profile must still establish its own technical requirements and evidence (North Atlantic Treaty Organization 2025, especially para. 14).</x:v>
      </x:c>
      <x:c r="G28" s="310" t="str">
        <x:v>https://www.nato.int/en/about-us/official-texts-and-resources/official-texts/2025/05/05/data-strategy-for-the-alliance</x:v>
      </x:c>
      <x:c r="H28" s="310" t="str">
        <x:v>The Data Strategy provides a policy rationale for interoperable information use, not an implementable sensor schema. The assessment can explain how a technical proposal supports its objectives, but cannot certify a device-model implementation against invented strategy requirements. Technical conformance must be demonstrated against the separately identified standards and profiles (North Atlantic Treaty Organization 2025).</x:v>
      </x:c>
    </x:row>
    <x:row r="29" ht="114" hidden="0" customHeight="1">
      <x:c r="A29" s="312" t="str">
        <x:v>S24</x:v>
      </x:c>
      <x:c r="B29" s="313" t="str">
        <x:v>NATO Core Data Framework (NCDF): ADatP-5653 (Study), Edition A, Version 1</x:v>
      </x:c>
      <x:c r="C29" s="313" t="str">
        <x:v>NATO cross-community information-sharing stakeholders; detailed audience unverified</x:v>
      </x:c>
      <x:c r="D29" s="313" t="str">
        <x:v>Historical publication lead</x:v>
      </x:c>
      <x:c r="E29" s="313" t="str">
        <x:v>Catalog identifies an older study reference; authoritative technical publication not inspected</x:v>
      </x:c>
      <x:c r="F29" s="313" t="str">
        <x:v>The inspected catalog identifies NCDF under ADatP-5653 and associates it with a cross-community information-sharing profile. It does not expose the technical clauses needed to determine the intended tailoring method or authorize a MERLIN model derivation. Treat it as a lead to the responsible data-management community, and do not conflate its publication number with ADatP-5668 or substitute a catalog description for the actual framework (“NATO Core Data Framework” n.d.).</x:v>
      </x:c>
      <x:c r="G29" s="313" t="str">
        <x:v>https://nisp.nw3.dk/standard/nato-adatp5653-ed.a-v1.html</x:v>
      </x:c>
      <x:c r="H29" s="313" t="str">
        <x:v>The catalog record does not supply a model that MERLIN can presently claim to implement. A native NCDF proposal would require the authoritative publication, edition, applicability and technical assessment criteria. Until then, the record is a recovery lead rather than a standards-implementation recommendation (“NATO Core Data Framework” n.d.).</x:v>
      </x:c>
    </x:row>
    <x:row r="30" ht="101" hidden="0" customHeight="1">
      <x:c r="A30" s="309" t="str">
        <x:v>S25</x:v>
      </x:c>
      <x:c r="B30" s="310" t="str">
        <x:v>StandardsReport_20261010T134742.352 GMT.xlsx(1).csv</x:v>
      </x:c>
      <x:c r="C30" s="310" t="str">
        <x:v>Defense standards selection and governance reviewers</x:v>
      </x:c>
      <x:c r="D30" s="310" t="str">
        <x:v>Authoritative DISR baseline</x:v>
      </x:c>
      <x:c r="E30" s="310" t="str">
        <x:v>Preserve exact identifiers, editions, DoD/IC statuses and relevant record fields</x:v>
      </x:c>
      <x:c r="F30" s="310" t="str">
        <x:v>The export supports selection and review of standards through authoritative baseline records, not implementation of their technical requirements. Its exact identifier, edition, DoD status, IC status and review-area distinctions remain intact. Any procedural consequence for a proposed implementation must be assessed separately without converting that applicability review into doubt about the baseline (“StandardsReport” 2026; Department of Defense 2023).</x:v>
      </x:c>
      <x:c r="G30" s="310" t="str">
        <x:v>Project source L7; no public URL</x:v>
      </x:c>
      <x:c r="H30" s="310" t="str">
        <x:v>Authoritative complete DISR baseline; completed SOSA metadata screen incorporated as research evidence. 5,253 rows; 29 shortlist entries; 137 independent QA sample rows pending. Recovered CSV hash recorded; no registry change.</x:v>
      </x:c>
    </x:row>
    <x:row r="31" ht="101" hidden="0" customHeight="1">
      <x:c r="A31" s="312" t="str">
        <x:v>S26</x:v>
      </x:c>
      <x:c r="B31" s="313" t="str">
        <x:v>Multilateral Interoperability Programme</x:v>
      </x:c>
      <x:c r="C31" s="313" t="str">
        <x:v>Prospective C2 interoperability product users/integrators</x:v>
      </x:c>
      <x:c r="D31" s="313" t="str">
        <x:v>Vendor implementation perspective</x:v>
      </x:c>
      <x:c r="E31" s="313" t="str">
        <x:v>Product claims require independent evidence and an exact implementing specification</x:v>
      </x:c>
      <x:c r="F31" s="313" t="str">
        <x:v>Systematic’s MIP page addresses prospective users and integrators of its interoperability products. It can explain the vendor’s claimed role in an exchange ecosystem, but it is not the MIP community’s authoritative tailoring or conformance specification. Retain it as implementation-market evidence and verify any technical claim against the exact MIP model, exchange specification, and test evidence before relying on it for a MERLIN binding (Systematic n.d.).</x:v>
      </x:c>
      <x:c r="G31" s="313" t="str">
        <x:v>https://systematic.com/int/industries/defence/products/domains/interoperability/mip/</x:v>
      </x:c>
      <x:c r="H31" s="313" t="str">
        <x:v>This vendor page is not a conformance specification. It can indicate a possible implementation to investigate, but cannot define MERLIN’s obligations or establish successful interoperability. Any later comparison needs an exact standard release and independently inspectable product or test evidence (Systematic n.d.).</x:v>
      </x:c>
    </x:row>
    <x:row r="32" ht="114" hidden="0" customHeight="1">
      <x:c r="A32" s="309" t="str">
        <x:v>S27</x:v>
      </x:c>
      <x:c r="B32" s="310" t="str">
        <x:v>Welcome to MIM World!</x:v>
      </x:c>
      <x:c r="C32" s="310" t="str">
        <x:v>MIP/MIM model and tooling community</x:v>
      </x:c>
      <x:c r="D32" s="310" t="str">
        <x:v>Authoritative model-recovery portal</x:v>
      </x:c>
      <x:c r="E32" s="310" t="str">
        <x:v>Exact versioned release and accompanying normative artifacts must be recovered</x:v>
      </x:c>
      <x:c r="F32" s="310" t="str">
        <x:v>The MIM World landing page is an official navigation point for a model, documentation, browsing services, and tools. Its intended role is to help the MIP/MIM community reach those resources, not replace the selected release’s technical rules. Until the exact model package and tailoring documentation are inspected, the portal cannot establish a permitted transformation, current edition, license, or conformance claim for MERLIN (Multilateral Interoperability Programme n.d.).</x:v>
      </x:c>
      <x:c r="G32" s="310" t="str">
        <x:v>https://www.mimworld.org/portal/projects/welcome/wiki/Welcome</x:v>
      </x:c>
      <x:c r="H32" s="310" t="str">
        <x:v>The official portal improves provenance but does not substitute for reading a selected release. A native MIM proposal must identify the actual model package and its assessment obligations. No implementation claim follows from the portal’s existence or from retaining its terminology in an OGC example (Multilateral Interoperability Programme n.d.).</x:v>
      </x:c>
    </x:row>
    <x:row r="33" ht="140" hidden="0" customHeight="1">
      <x:c r="A33" s="312" t="str">
        <x:v>S28</x:v>
      </x:c>
      <x:c r="B33" s="313" t="str">
        <x:v>The Specification Model—A Standard for Modular Specifications</x:v>
      </x:c>
      <x:c r="C33" s="313" t="str">
        <x:v>Standards and conformance-test authors</x:v>
      </x:c>
      <x:c r="D33" s="313" t="str">
        <x:v>Supporting specification method</x:v>
      </x:c>
      <x:c r="E33" s="313" t="str">
        <x:v>ModSpec §4.16 and §§6.4–6.5; requirements/classes, dependencies and preserved base conformance</x:v>
      </x:c>
      <x:c r="F33" s="313" t="str">
        <x:v>A valid profile chooses a conforming set of obligations rather than redefining the parent to fit a desired result. ModSpec specifies complete conformance classes and their dependencies and permits extensions subject to its modularity rules. MERLIN should use this structure for any formal OGC extension and label a donor-model translation separately when it does not preserve that donor’s native conformance target (Open Geospatial Consortium 2009b, §§4.16, 6.5).</x:v>
      </x:c>
      <x:c r="G33" s="313" t="str">
        <x:v>https://docs.ogc.org/pol/08-131r3/08-131r3.pdf</x:v>
      </x:c>
      <x:c r="H33" s="313" t="str">
        <x:v>ModSpec’s relevant target is a specification we might author, not a sensor instance. A proposed profile or extension must identify its base contracts, additional requirements, dependencies and corresponding conformance organization. Such an authoring assessment would not establish that a MERLIN server implements the resulting specification; that requires separate implementation tests (Open Geospatial Consortium 2009b, §4.16, §§6.4–6.5).</x:v>
      </x:c>
    </x:row>
    <x:row r="34" ht="114" hidden="0" customHeight="1">
      <x:c r="A34" s="309" t="str">
        <x:v>S29</x:v>
      </x:c>
      <x:c r="B34" s="310" t="str">
        <x:v>DoD Information Technology Standards Registry (DISR)</x:v>
      </x:c>
      <x:c r="C34" s="310" t="str">
        <x:v>Defense standards reviewers</x:v>
      </x:c>
      <x:c r="D34" s="310" t="str">
        <x:v>Adoption guidance</x:v>
      </x:c>
      <x:c r="E34" s="310" t="str">
        <x:v>DISR guidance context; detailed formal action requires governing procedure</x:v>
      </x:c>
      <x:c r="F34" s="310" t="str">
        <x:v>Use the guidance to interpret categories, not as a substitute for the governing policy or a specific standards record. Its distinction between a standard and information/guidance also matters when selecting what a change request should propose. No technical implementation conformance is claimed by citing this explanatory web page (Defense Logistics Agency n.d.).</x:v>
      </x:c>
      <x:c r="G34" s="310" t="str">
        <x:v>https://www.dsp.dla.mil/specs-standards/list-of-disr-documents/</x:v>
      </x:c>
      <x:c r="H34" s="310" t="str">
        <x:v>The DLA guidance page is not a technical implementation standard. It helps frame the relationship between registry status and a proposed selection, while the supplied export establishes the baseline itself. A formal action must use the applicable procedure and an exact implementation need, not a conformance claim attached to this webpage (Defense Logistics Agency n.d.).</x:v>
      </x:c>
    </x:row>
    <x:row r="35" ht="127" hidden="0" customHeight="1">
      <x:c r="A35" s="312" t="str">
        <x:v>S30</x:v>
      </x:c>
      <x:c r="B35" s="313" t="str">
        <x:v>Information Technology Standards in the DoD</x:v>
      </x:c>
      <x:c r="C35" s="313" t="str">
        <x:v>Defense IT standards governance authorities and implementers</x:v>
      </x:c>
      <x:c r="D35" s="313" t="str">
        <x:v>Governing policy recovery boundary</x:v>
      </x:c>
      <x:c r="E35" s="313" t="str">
        <x:v>Applicable instruction provisions and implementing procedure; complete text not recovered in this research increment</x:v>
      </x:c>
      <x:c r="F35" s="313" t="str">
        <x:v>Use the instruction as the governing policy after obtaining its applicable text, not as an implied technical profile. This revision verifies only its official identity and metadata. Any paragraph-level statement about exceptions, approval authority, or current procedure must await the actual source rather than be inferred from its title (Department of Defense 2023).</x:v>
      </x:c>
      <x:c r="G35" s="313" t="str">
        <x:v>https://www.esd.whs.mil/portals/54/documents/dd/issuances/dodi/831001p.pdf</x:v>
      </x:c>
      <x:c r="H35" s="313" t="str">
        <x:v>The instruction governs standards-related responsibilities rather than defining a SensorML or donor-model implementation. Its procedural applicability must be evaluated for a concrete proposed action; the incomplete full-text inspection does not invalidate the supplied DISR baseline. No technical conformance or authorization claim is inferred from the instruction’s title or public summary (Department of Defense 2023).</x:v>
      </x:c>
    </x:row>
    <x:row r="36" ht="140" hidden="0" customHeight="1">
      <x:c r="A36" s="309" t="str">
        <x:v>S31</x:v>
      </x:c>
      <x:c r="B36" s="310" t="str">
        <x:v>NATO Interoperability Standards and Profiles. Volume 1: Introduction and Management</x:v>
      </x:c>
      <x:c r="C36" s="310" t="str">
        <x:v>NATO planners, programme/technical managers, implementers and testers</x:v>
      </x:c>
      <x:c r="D36" s="310" t="str">
        <x:v>Historical NATO profiling method</x:v>
      </x:c>
      <x:c r="E36" s="310" t="str">
        <x:v>NISP 15/2023 cited clauses; current applicable submission procedure must be identified for an actual action</x:v>
      </x:c>
      <x:c r="F36" s="310" t="str">
        <x:v>The archived guidance expressly permits profile references to national and non-NATO work while retaining selection and review criteria. That supports a governed combination of standards, not an unrestricted collection of borrowed definitions. A candidate profile should identify its function, selected choices, ownership, conformance evidence, and intended users, with current process details checked before submission (North Atlantic Treaty Organization 2023, appendix A; chap. 5).</x:v>
      </x:c>
      <x:c r="G36" s="310" t="str">
        <x:v>https://archive.nisp.nw3.dk/nisp-15.0/volume1/ch01.html</x:v>
      </x:c>
      <x:c r="H36" s="310" t="str">
        <x:v>NISP supplies a governance setting for choosing and maintaining standards and profiles, not the device-level conformance target. This entry remains explicitly tied to the inspected 2023 edition. A future proposal must use the applicable procedure and named technical obligations; adopting a profile reference and demonstrating an implementation are separate achievements (North Atlantic Treaty Organization 2023, chap. 5, app. A).</x:v>
      </x:c>
    </x:row>
    <x:row r="37" ht="140" hidden="0" customHeight="1">
      <x:c r="A37" s="312" t="str">
        <x:v>S32</x:v>
      </x:c>
      <x:c r="B37" s="313" t="str">
        <x:v>STANAG 4789 JCGISR (Edition 1) (Ratification Draft 1)—Sensor Integration Standard for NATO JISR Operations—AEP-4789, Edition A</x:v>
      </x:c>
      <x:c r="C37" s="313" t="str">
        <x:v>NATO national staffs and JISR implementation communities</x:v>
      </x:c>
      <x:c r="D37" s="313" t="str">
        <x:v>Official 4789 ratification evidence</x:v>
      </x:c>
      <x:c r="E37" s="313" t="str">
        <x:v>Exact AEP volume clauses, editions and national implementation obligations; RD1 stage must remain distinct</x:v>
      </x:c>
      <x:c r="F37" s="313" t="str">
        <x:v>A ratification draft asks nations for decisions; it is not a completed declaration of implementation by all parties. The separately maintained AEP volumes provide the route to technical requirements and future scoped additions. Any MERLIN proposal should therefore identify the appropriate technical volume or supporting artifact and coordinate with the existing custodial structure rather than presume this bibliography amends the agreement (NATO Standardization Office 2026).</x:v>
      </x:c>
      <x:c r="G37" s="313"/>
      <x:c r="H37" s="313" t="str">
        <x:v>The recovered ratification package identifies the NATO framework and process, but the cover letter is not the technical implementation contract. A STANAG implementation claim must identify the applicable AEP provisions and underlying standard requirements, along with the relevant national obligations. This increment neither establishes that complete contract nor demonstrates its implementation (NATO Standardization Office 2026, cover letter and covering agreement).</x:v>
      </x:c>
    </x:row>
    <x:row r="38" ht="127" hidden="0" customHeight="1">
      <x:c r="A38" s="309" t="str">
        <x:v>S33</x:v>
      </x:c>
      <x:c r="B38" s="310" t="str">
        <x:v>OWS-6 SensorML Profile for Discovery</x:v>
      </x:c>
      <x:c r="C38" s="310" t="str">
        <x:v>Historical sensor-description / catalogue implementers</x:v>
      </x:c>
      <x:c r="D38" s="310" t="str">
        <x:v>Historical discovery-content precedent; tests not active</x:v>
      </x:c>
      <x:c r="E38" s="310" t="str">
        <x:v>OGC 09-033 v0.3.0 §7 plus referenced SensorML 1.0/1.0.1 schema obligations; conflicts must be resolved explicitly</x:v>
      </x:c>
      <x:c r="F38" s="310" t="str">
        <x:v>Its intended implementation setting is constrained discovery metadata, including descriptions obtained through SWE services. The current MERLIN use is explicitly historical: extract the requirement-to-assessment method, compare it with current requirements and avoid importing obsolete obligations without justification. The report’s logical decomposition also warrants care; a discovery component must not be turned into an independently identified physical device without source evidence (Open Geospatial Consortium 2009a, §§6–7).</x:v>
      </x:c>
      <x:c r="G38" s="310" t="str">
        <x:v>https://docs.ogc.org/per/09-033/09-033.pdf</x:v>
      </x:c>
      <x:c r="H38" s="310" t="str">
        <x:v>MERLIN is not proposed to implement this XML-era Engineering Report unchanged. Its current role is evidence for coordinated content within SensorML, with any present-day agreement stated separately. The isolated predicates examined in v0.3 remain historical working notes and are not the next research task (Open Geospatial Consortium 2009a, cover, §§6–7).</x:v>
      </x:c>
    </x:row>
    <x:row r="39" ht="140" hidden="0" customHeight="1">
      <x:c r="A39" s="312" t="str">
        <x:v>S34</x:v>
      </x:c>
      <x:c r="B39" s="313" t="str">
        <x:v>SensorML profile and mapping into a CSW-ebRIM catalogue</x:v>
      </x:c>
      <x:c r="C39" s="313" t="str">
        <x:v>Historical sensor-description / catalogue implementers</x:v>
      </x:c>
      <x:c r="D39" s="313" t="str">
        <x:v>Historical profile-to-catalogue mapping precedent</x:v>
      </x:c>
      <x:c r="E39" s="313" t="str">
        <x:v>09-163r2 v0.3.0 input profile, catalogue dependencies, target mappings, cardinalities and query behavior</x:v>
      </x:c>
      <x:c r="F39" s="313" t="str">
        <x:v>A native implementation would operate within the stated catalogue and SensorML dependencies, rather than transfer selected definitions into an unrelated representation and retain the same claim. MERLIN’s present use is analytical: learn how to document two contracts and their mapping separately. Any new OGC-side agreement must be labeled as our proposal until its requirements, assessment and governance are established (Open Geospatial Consortium 2010, preface, §§12–13).</x:v>
      </x:c>
      <x:c r="G39" s="313" t="str">
        <x:v>https://docs.ogc.org/dp/09-163r2/09-163r2.pdf</x:v>
      </x:c>
      <x:c r="H39" s="313" t="str">
        <x:v>A native implementation of the paper’s approach would entail its input-profile rules and a CSW-ebRIM catalogue contract, including the mappings and relevant behavior. MERLIN is not proposed to deploy that historical catalogue. The present contribution is the discipline of stating both sides of a mapping; a new SensorML 3.0/CSAPI mapping would remain a separate artifact requiring its own assessment (Open Geospatial Consortium 2010, preface, §§12–13).</x:v>
      </x:c>
    </x:row>
    <x:row r="40" ht="140" customHeight="1">
      <x:c r="A40" s="309" t="str">
        <x:v>S35</x:v>
      </x:c>
      <x:c r="B40" s="310" t="str">
        <x:v>CCOM UML Class Model</x:v>
      </x:c>
      <x:c r="C40" s="310" t="str">
        <x:v>Asset information integrators, operators, maintainers and equipment suppliers</x:v>
      </x:c>
      <x:c r="D40" s="310" t="str">
        <x:v>Shortlist for asset-lifecycle semantics; exact production edition remains a selection question</x:v>
      </x:c>
      <x:c r="E40" s="310" t="str">
        <x:v>Cover/status; UML pp. 6–8 and 27 visually inspected; official CCOM documentation: Reference Data, Data Exchange, Extensibility</x:v>
      </x:c>
      <x:c r="F40" s="310" t="str">
        <x:v>The official CCOM documentation allows agreed reference-data libraries, custom AttributeTypes, use of its XML types in other schemas, and additional message definitions. It separately describes XML compound documents and constrained Business Object Document messages. These are documented ways to reuse and extend the work; they do not establish SensorML JSON as an existing CCOM encoding (MIMOSA n.d.-a, “Reference Data,” “Data Exchange,” and “Extensibility”).</x:v>
      </x:c>
      <x:c r="G40" s="310" t="str">
        <x:v>https://www.mimosa.org/wp-content/uploads/specifications/2019/12/ccom-4-1-0-rc1/CCOM-UML-Class-Model-4.1.0-RC1.pdf</x:v>
      </x:c>
      <x:c r="H40" s="310" t="str">
        <x:v>Retain the model as a serious lifecycle candidate rather than claim implementation now. Preserving native CCOM XML or implementing a documented model realization would be substantively different from copying selected relationship names into SensorML. The latter would be an authored mapping whose meaning and coverage we own; the former needs an exact version and selected artifact, without requiring a test campaign during this literature review.</x:v>
      </x:c>
    </x:row>
    <x:row r="41" ht="140" customHeight="1">
      <x:c r="A41" s="312" t="str">
        <x:v>S36</x:v>
      </x:c>
      <x:c r="B41" s="313" t="str">
        <x:v>Generic Frame for Technical Data for Industrial Equipment in Manufacturing</x:v>
      </x:c>
      <x:c r="C41" s="313" t="str">
        <x:v>Technical-documentation authors, manufacturers, suppliers, system integrators and operators</x:v>
      </x:c>
      <x:c r="D41" s="313" t="str">
        <x:v>Supporting design comparator; not selected as a second generic description model</x:v>
      </x:c>
      <x:c r="E41" s="313" t="str">
        <x:v>§§1.1–1.3, 2.1–2.2, 3.1–3.2, 3.6, Annex C; p. 8 visual check; versioned repository README and first 250 lines of JSON template</x:v>
      </x:c>
      <x:c r="F41" s="313" t="str">
        <x:v>The specification expects an AAS Submodel instance with the prescribed element roles and semantic identifications. Its flexibility is deliberate: domain-specific structure and additional descriptions are permitted within designated parts of the frame. Therefore “use the template” is not permission to disregard its frame, and “use its organizing idea” is not a native AAS implementation (Industrial Digital Twin Association 2025a, §§1.1, 2.1, annex C).</x:v>
      </x:c>
      <x:c r="G41" s="313" t="str">
        <x:v>https://industrialdigitaltwin.org/en/wp-content/uploads/sites/2/2025/03/IDTA-02003_Generic-Frame-for-Technical-Data.pdf</x:v>
      </x:c>
      <x:c r="H41" s="313" t="str">
        <x:v>The current recommendation is to retain this as a concrete frame comparison, not add a parallel TechnicalData implementation to MERLIN. A native option would retain an identifiable AAS artifact and its selected template obligations; a SensorML rendering of selected content would be an explicit mapping. That mapping could be valuable for an AAS-producing partner, but no such producer has been established by the supplied examples.</x:v>
      </x:c>
    </x:row>
    <x:row r="42" ht="127" customHeight="1">
      <x:c r="A42" s="309" t="str">
        <x:v>S37</x:v>
      </x:c>
      <x:c r="B42" s="310" t="str">
        <x:v>Hierarchical Structures enabling Bills of Material</x:v>
      </x:c>
      <x:c r="C42" s="310" t="str">
        <x:v>Industrial suppliers, equipment manufacturers, integrators and operators</x:v>
      </x:c>
      <x:c r="D42" s="310" t="str">
        <x:v>Conditional equipment comparator; generic hierarchy is insufficient reason for a new AAS layer</x:v>
      </x:c>
      <x:c r="E42" s="310" t="str">
        <x:v>§§1.2–1.5.1, 1.6, 2; pp. 9 and 13 hierarchy figures inspected</x:v>
      </x:c>
      <x:c r="F42" s="310" t="str">
        <x:v>Native use means constructing the stated hierarchy through AAS Entities and RelationshipElements with a selected archetype. Distributed references require the corresponding AAS information to be discoverable, whereas self-contained environments can resolve locally. A hierarchy drawn in SensorML is therefore not implementation of this template merely because it has parents and children (Industrial Digital Twin Association 2024, §§1.5.1, 2).</x:v>
      </x:c>
      <x:c r="G42" s="310" t="str">
        <x:v>https://industrialdigitaltwin.org/en/wp-content/uploads/sites/2/2024/06/IDTA-02011-1-1_Submodel_HierarchicalStructuresEnablingBoM.pdf</x:v>
      </x:c>
      <x:c r="H42" s="310" t="str">
        <x:v>Keep this on the equipment comparison shortlist as a specific alternative to a management-centric hardware model. Do not presently select an additional AAS artifact solely for hierarchy organization. If a native AAS exchange is chosen, preserve the template’s identities and references; if only its organization informs an OGC agreement, describe that as an authored mapping or design precedent.</x:v>
      </x:c>
    </x:row>
    <x:row r="43" ht="127" customHeight="1">
      <x:c r="A43" s="312" t="str">
        <x:v>S38</x:v>
      </x:c>
      <x:c r="B43" s="313" t="str">
        <x:v>Hierarchical Structures enabling Bills of Material – Extension based on IEC 81346</x:v>
      </x:c>
      <x:c r="C43" s="313" t="str">
        <x:v>Engineering disciplines and technical-data integrators</x:v>
      </x:c>
      <x:c r="D43" s="313" t="str">
        <x:v>Targeted relationship reference; not a proposed universal mission hierarchy</x:v>
      </x:c>
      <x:c r="E43" s="313" t="str">
        <x:v>§§1.1–1.3, 2.1–2.2, 2.3–2.5 selected definitions; p. 11 cross-aspect references visually inspected</x:v>
      </x:c>
      <x:c r="F43" s="313" t="str">
        <x:v>The source is itself an example of governed specialization: it names its base template and adds specific node and relationship meanings. The aspect type and reference direction matter, not just the visible hierarchy label. Using those distinctions in CSAPI would still need an OGC binding rather than silently adopting AAS reference-resolution behavior (Industrial Digital Twin Association 2025b, §§2.2–2.5).</x:v>
      </x:c>
      <x:c r="G43" s="313" t="str">
        <x:v>https://industrialdigitaltwin.org/en/wp-content/uploads/sites/2/2025/08/IDTA-02011-1-Hierarchical-Structures-enabling-Bills-of-Material_Extension-based-on-IEC-81346.pdf</x:v>
      </x:c>
      <x:c r="H43" s="313" t="str">
        <x:v>The current recommendation is a targeted semantic comparison, not native implementation of the IEC-based AAS extension. A native alternative would create the applicable extension artifact; a translation would preserve selected meanings in a separately defined OGC representation. Borrowing the separation of perspectives alone should be credited as design learning, not advertised as implementing IEC 81346 or IDTA 02011-1.</x:v>
      </x:c>
    </x:row>
    <x:row r="44" ht="127" customHeight="1">
      <x:c r="A44" s="309" t="str">
        <x:v>S39</x:v>
      </x:c>
      <x:c r="B44" s="310" t="str">
        <x:v>Capability Description</x:v>
      </x:c>
      <x:c r="C44" s="310" t="str">
        <x:v>Production planners, machine manufacturers and plant operators</x:v>
      </x:c>
      <x:c r="D44" s="310" t="str">
        <x:v>Conditional capability-planning candidate; not selected for ordinary resource description</x:v>
      </x:c>
      <x:c r="E44" s="310" t="str">
        <x:v>§§1.2–1.6, 1.8, 2.1–2.2 and selected relationships; pp. 17 and 19 visually inspected</x:v>
      </x:c>
      <x:c r="F44" s="310" t="str">
        <x:v>The template’s native meaning depends on preserving capability roles, relationships and any selected constraints. Domain-specific capability and property definitions remain references rather than an exhaustive vocabulary supplied by the template. An AAS artifact following those provisions is a different commitment from a SensorML record inspired by the required/offered distinction (Industrial Digital Twin Association 2026a, §§1.3, 2.2).</x:v>
      </x:c>
      <x:c r="G44" s="310" t="str">
        <x:v>https://industrialdigitaltwin.org/en/wp-content/uploads/sites/2/2026/04/IDTA-02020_Submodel_Capability_Description.pdf</x:v>
      </x:c>
      <x:c r="H44" s="310" t="str">
        <x:v>Retain this as a conditional content-model candidate, not a current implementation recommendation. A native option could be an AAS file artifact or the appropriate API-backed capability, within the stated feature limits. A CSAPI-only option would be an authored binding, and its usefulness must come from a real requirement/ability relationship rather than from copying the word capability.</x:v>
      </x:c>
    </x:row>
    <x:row r="45" ht="74" customHeight="1">
      <x:c r="A45" s="304" t="str">
        <x:v>S40</x:v>
      </x:c>
      <x:c r="B45" s="304" t="str">
        <x:v>Sentinel 1.0.7.2 Software Users Manual: selected ETU-II pages</x:v>
      </x:c>
      <x:c r="C45" s="304" t="str">
        <x:v>System operators / maintainers</x:v>
      </x:c>
      <x:c r="D45" s="304" t="str">
        <x:v>Documentary source evidence</x:v>
      </x:c>
      <x:c r="E45" s="304" t="str">
        <x:v>Original screenshot pages inspected visually: slides 10–12; reader pages 175–177. No live payload, device state or full-manual inspection claimed. 12 October 2026.</x:v>
      </x:c>
      <x:c r="F45" s="304" t="str">
        <x:v>The intended reader is an operator or maintainer using Sentinel, not an author of a universal equipment ontology. The manual’s wording constrains interpretation of the shown fields and rules. It does not authorize a CSAPI equivalence or define a portable profile.</x:v>
      </x:c>
      <x:c r="G45" s="304" t="str">
        <x:v>Library locator: libfile_cbd2e80dc0e081918022604ef8d45f2e; TRSS Details View Research.pptx, slides 10–12</x:v>
      </x:c>
      <x:c r="H45" s="304" t="str">
        <x:v>Source-derived facts separated from proposed OGC interpretation</x:v>
      </x:c>
    </x:row>
    <x:row r="46" ht="74" customHeight="1">
      <x:c r="A46" s="304" t="str">
        <x:v>S41</x:v>
      </x:c>
      <x:c r="B46" s="304" t="str">
        <x:v>OmniSense CORE configuration and transducer reporting: selected manual pages</x:v>
      </x:c>
      <x:c r="C46" s="304" t="str">
        <x:v>System operators / maintainers</x:v>
      </x:c>
      <x:c r="D46" s="304" t="str">
        <x:v>Documentary source evidence</x:v>
      </x:c>
      <x:c r="E46" s="304" t="str">
        <x:v>Original screenshot pages inspected visually: slides 1–7 / printed pp. 6-1–6-7; §6.1.6 and configuration/Queue explanations. 12 October 2026.</x:v>
      </x:c>
      <x:c r="F46" s="304" t="str">
        <x:v>The manual guides use of the CORE editor, including its communications delay and source-defined options. It does not prescribe an OGC profile or a native YANG implementation. Its application semantics must nevertheless remain intact when information is translated.</x:v>
      </x:c>
      <x:c r="G46" s="304" t="str">
        <x:v>Library locator: libfile_7b30d4a27a44819194bef90e7c7aece4; SADU Details View Research.pptx, slides 1–7</x:v>
      </x:c>
      <x:c r="H46" s="304" t="str">
        <x:v>Source-derived facts separated from proposed OGC interpretation</x:v>
      </x:c>
    </x:row>
    <x:row r="47" ht="75" customHeight="1">
      <x:c r="A47" s="304" t="str">
        <x:v>S42</x:v>
      </x:c>
      <x:c r="B47" s="304" t="str">
        <x:v>Bosch BME280: environmental-model contrast</x:v>
      </x:c>
      <x:c r="C47" s="304" t="str">
        <x:v>Device designers and integrators</x:v>
      </x:c>
      <x:c r="D47" s="304" t="str">
        <x:v>Documentary source evidence</x:v>
      </x:c>
      <x:c r="E47" s="304" t="str">
        <x:v>Cover, general description, §§3.3–3.4; cover and pp. 15, 17 visually checked. Cover revision 1.24 governs the citation; selected body footers retain a 1.23 mark. 12 October 2026.</x:v>
      </x:c>
      <x:c r="F47" s="304" t="str">
        <x:v>The source specifies a product’s behavior and integration constraints. Its role differs from an open community information-model standard. Using it faithfully means preserving model scope and conditions, not claiming that a datasheet-only case provides a configured device.</x:v>
      </x:c>
      <x:c r="G47" s="304" t="str">
        <x:v>https://www.bosch-sensortec.com/media/boschsensortec/downloads/datasheets/bst-bme280-ds002.pdf</x:v>
      </x:c>
      <x:c r="H47" s="304" t="str">
        <x:v>Source-derived facts separated from proposed OGC interpretation</x:v>
      </x:c>
    </x:row>
    <x:row r="48" ht="127" customHeight="1">
      <x:c r="A48" s="315" t="str">
        <x:v>S43</x:v>
      </x:c>
      <x:c r="B48" s="304" t="str">
        <x:v>Common command-and-control user interface for current force UGS</x:v>
      </x:c>
      <x:c r="C48" s="304" t="str">
        <x:v>The paper addresses common command and control for current-force UGS. The indexed abstract identifies OmniSense, Scorpion and Silent Watch and describes a requirements-to-implementation effort. Its intended community is therefore directly related to the operator integration problem, rather than merely adjacent industrial automation (Stolovy 2009).</x:v>
      </x:c>
      <x:c r="D48" s="304" t="str">
        <x:v>Historical cross-vendor UGS engineering lead</x:v>
      </x:c>
      <x:c r="E48" s="304" t="str">
        <x:v>Publisher record and indexed abstract; complete paper not retrieved.</x:v>
      </x:c>
      <x:c r="F48" s="304" t="str">
        <x:v>This research cites an engineering publication; MERLIN is not proposed to implement its uninspected interface. A later implementation proposal would need the actual technical specification and applicable rights. It would also distinguish an original vendor contract from a new OGC binding.</x:v>
      </x:c>
      <x:c r="G48" s="304" t="str">
        <x:v>https://doi.org/10.1117/12.822186</x:v>
      </x:c>
      <x:c r="H48" s="304" t="str">
        <x:v>Scope/content assessment; no implementation execution.</x:v>
      </x:c>
    </x:row>
    <x:row r="49" ht="114" customHeight="1">
      <x:c r="A49" s="315" t="str">
        <x:v>S44</x:v>
      </x:c>
      <x:c r="B49" s="304" t="str">
        <x:v>OmniSense unattended ground sensor system</x:v>
      </x:c>
      <x:c r="C49" s="304" t="str">
        <x:v>This manufacturer-authored paper concerns the OmniSense system and its integration environment. The indexed abstract connects the work to CDIF in tactical sensor networking. The source is valuable for historical engineering intent, but its limited recovery constrains what can be claimed (McQuiddy 2008).</x:v>
      </x:c>
      <x:c r="D49" s="304" t="str">
        <x:v>Manufacturer-authored system/interface lineage</x:v>
      </x:c>
      <x:c r="E49" s="304" t="str">
        <x:v>Publication record and indexed abstract; full paper and CDIF specification not retrieved.</x:v>
      </x:c>
      <x:c r="F49" s="304" t="str">
        <x:v>No CDIF implementation is proposed or claimed by this source entry. A future CDIF adapter would require the actual authorized interface specification, with explicit mapping to OGC. Borrowing a paper’s descriptive concepts would support only a research-informed design claim.</x:v>
      </x:c>
      <x:c r="G49" s="304" t="str">
        <x:v>https://doi.org/10.1117/12.784540</x:v>
      </x:c>
      <x:c r="H49" s="304" t="str">
        <x:v>Scope/content assessment; no implementation execution.</x:v>
      </x:c>
    </x:row>
    <x:row r="50" ht="114" customHeight="1">
      <x:c r="A50" s="315" t="str">
        <x:v>S45</x:v>
      </x:c>
      <x:c r="B50" s="304" t="str">
        <x:v>The Open Standard for Unattended Sensors (OSUS) as a Platform for the Internet of Things (IOT)</x:v>
      </x:c>
      <x:c r="C50" s="304" t="str">
        <x:v>Klawon frames UGS integration and commercial IoT as related engineering problems. The abstract describes OSUS/Terra Harvest and the author’s sensor-integration experience. This is directly relevant to broadening the profile beyond the two initial products, while remaining one author’s research account (Klawon 2023).</x:v>
      </x:c>
      <x:c r="D50" s="304" t="str">
        <x:v>Original engineering research on UGS–IoT applicability</x:v>
      </x:c>
      <x:c r="E50" s="304" t="str">
        <x:v>University record, abstract and linked OhioLINK metadata; full thesis not retrieved.</x:v>
      </x:c>
      <x:c r="F50" s="304" t="str">
        <x:v>The thesis is analytical evidence, not the standard that MERLIN would implement. A native OSUS choice would involve a specific release and its services, rather than adoption of the thesis’s conclusions. The present purpose is applicability assessment, not migration to another runtime.</x:v>
      </x:c>
      <x:c r="G50" s="304" t="str">
        <x:v>https://ecommons.udayton.edu/graduate_theses/7186/</x:v>
      </x:c>
      <x:c r="H50" s="304" t="str">
        <x:v>Scope/content assessment; no implementation execution.</x:v>
      </x:c>
    </x:row>
    <x:row r="51" ht="127" customHeight="1">
      <x:c r="A51" s="315" t="str">
        <x:v>S46</x:v>
      </x:c>
      <x:c r="B51" s="304" t="str">
        <x:v>Unattended Ground Sensor Survey</x:v>
      </x:c>
      <x:c r="C51" s="304" t="str">
        <x:v>The survey supports a technical inquiry concerning unattended sensors, including deployment suitability. It organizes the assessment around sensing, communications, location, operating duration, physical/environmental characteristics and power. Its purpose is engineering option awareness, not definition of a common exchange standard (Armistead 2018).</x:v>
      </x:c>
      <x:c r="D51" s="304" t="str">
        <x:v>Government-sponsored technical survey</x:v>
      </x:c>
      <x:c r="E51" s="304" t="str">
        <x:v>Full 38-page PDF recovered; scope, §2, TRSS/McQ/Scorpion sections and selected references inspected; figures visually inspected.</x:v>
      </x:c>
      <x:c r="F51" s="304" t="str">
        <x:v>MERLIN would not implement this survey as a technical standard. Its information subjects guide the comparison of candidate models and profile coverage. Any product-derived instance values or operational behaviors would still need appropriate source evidence.</x:v>
      </x:c>
      <x:c r="G51" s="304" t="str">
        <x:v>https://dsiac.dtic.mil/wp-content/uploads/2018/05/2165849_STI_Document.pdf</x:v>
      </x:c>
      <x:c r="H51" s="304" t="str">
        <x:v>Scope/content assessment; no implementation execution.</x:v>
      </x:c>
    </x:row>
    <x:row r="52" ht="127" customHeight="1">
      <x:c r="A52" s="315" t="str">
        <x:v>S47</x:v>
      </x:c>
      <x:c r="B52" s="304" t="str">
        <x:v>OSUS-R Asset interface and capability model</x:v>
      </x:c>
      <x:c r="C52" s="304" t="str">
        <x:v>The public reference implementation exposes a common Asset interface for physical devices that produce data or respond to commands. Its examples include motion detectors, cameras and other networked equipment, and it allows multiple sensors in one asset. It is written for plug-in developers and consumers of OSUS services (OSUS-R Contributors n.d., Asset.java).</x:v>
      </x:c>
      <x:c r="D52" s="304" t="str">
        <x:v>Inspectable reference-implementation model</x:v>
      </x:c>
      <x:c r="E52" s="304" t="str">
        <x:v>README; Asset.java introductory interface documentation; AssetCapabilities.xsd selected capability/status/command blocks.</x:v>
      </x:c>
      <x:c r="F52" s="304" t="str">
        <x:v>A native OSUS implementation would satisfy the selected release’s service and plug-in contracts. Translating selected model content into SensorML is instead a new binding, unless an applicable published correspondence is found. Neither a capability list nor an OGC document alone establishes native OSUS implementation.</x:v>
      </x:c>
      <x:c r="G52" s="304" t="str">
        <x:v>https://github.com/ssg-udri/OSUS-R/blob/d09088fbe56d4b64f0544d72e98c3cb70fa941f6/mil.dod.th.core/src/mil/dod/th/core/asset/Asset.java</x:v>
      </x:c>
      <x:c r="H52" s="304" t="str">
        <x:v>OSUS-R implementation-subset precedent retained; no complete native interoperability claim. Current mode/function binding retains useful organization without claiming OSUS schema or runtime implementation.</x:v>
      </x:c>
    </x:row>
    <x:row r="53" ht="114" customHeight="1">
      <x:c r="A53" s="315" t="str">
        <x:v>S48</x:v>
      </x:c>
      <x:c r="B53" s="304" t="str">
        <x:v>Service-oriented Sensor Data Interoperability for IEEE 1451 Smart Transducers</x:v>
      </x:c>
      <x:c r="C53" s="304" t="str">
        <x:v>The authors present an architecture and prototype connecting IEEE 1451 smart transducers to OGC SWE through Smart Transducer Web Services. The intended audience is sensor and application integrators. The paper separates the transducer-side interface from the application-facing services (Song and Lee 2009).</x:v>
      </x:c>
      <x:c r="D53" s="304" t="str">
        <x:v>Primary prototype and interoperability evidence</x:v>
      </x:c>
      <x:c r="E53" s="304" t="str">
        <x:v>Full six-page paper recovered; §§I, III–V and prototype figures inspected.</x:v>
      </x:c>
      <x:c r="F53" s="304" t="str">
        <x:v>Reproducing the historical implementation would entail its actual IEEE, STWS and SOS contracts. MERLIN is not proposed to deploy that legacy stack. A current CSAPI profile or bridge would need its own bindings and should not inherit the prototype’s implementation claim.</x:v>
      </x:c>
      <x:c r="G53" s="304" t="str">
        <x:v>https://tsapps.nist.gov/publication/get_pdf.cfm?pub_id=902312</x:v>
      </x:c>
      <x:c r="H53" s="304" t="str">
        <x:v>Scope/content assessment; no implementation execution.</x:v>
      </x:c>
    </x:row>
    <x:row r="54" ht="127" customHeight="1">
      <x:c r="A54" s="315" t="str">
        <x:v>S49</x:v>
      </x:c>
      <x:c r="B54" s="304" t="str">
        <x:v>IoT Device Cybersecurity Capability Core Baseline</x:v>
      </x:c>
      <x:c r="C54" s="304" t="str">
        <x:v>The report addresses cybersecurity capabilities for IoT devices and their manufacturers. Its introduction characterizes devices through computing, physical/sensing capabilities and a network interface. That scope supports a broad connected-device comparison but is not a complete operational information model (Fagan et al. 2020, §1).</x:v>
      </x:c>
      <x:c r="D54" s="304" t="str">
        <x:v>Authoritative broad device-category context</x:v>
      </x:c>
      <x:c r="E54" s="304" t="str">
        <x:v>Full public PDF recovered; introduction and stated scope inspected.</x:v>
      </x:c>
      <x:c r="F54" s="304" t="str">
        <x:v>No new implementation of the cybersecurity baseline is claimed here. Security requirements for an eventual deployment remain governed by their own applicable policies and standards. The present use is a cited classification context.</x:v>
      </x:c>
      <x:c r="G54" s="304" t="str">
        <x:v>https://nvlpubs.nist.gov/nistpubs/ir/2020/NIST.IR.8259A.pdf</x:v>
      </x:c>
      <x:c r="H54" s="304" t="str">
        <x:v>Scope/content assessment; no implementation execution.</x:v>
      </x:c>
    </x:row>
    <x:row r="55" ht="114" customHeight="1">
      <x:c r="A55" s="315" t="str">
        <x:v>S50</x:v>
      </x:c>
      <x:c r="B55" s="304" t="str">
        <x:v>Terminology for Constrained-Node Networks</x:v>
      </x:c>
      <x:c r="C55" s="304" t="str">
        <x:v>RFC 7228 supplies terminology for constrained devices and networks. It addresses resource limits and distinguishes several energy constraints and power strategies. Its purpose is consistent engineering discussion, not a complete device-management or power-description schema (Bormann, Ersue, and Keränen 2014).</x:v>
      </x:c>
      <x:c r="D55" s="304" t="str">
        <x:v>Cross-domain constraints terminology</x:v>
      </x:c>
      <x:c r="E55" s="304" t="str">
        <x:v>Definitions and §§3–4, especially energy limitations and power strategies.</x:v>
      </x:c>
      <x:c r="F55" s="304" t="str">
        <x:v>Using the terminology is not implementing a native network protocol. A profile may reference applicable terms, with the exact intended meaning stated. Any executable resource model would come from a separate specification or authored binding.</x:v>
      </x:c>
      <x:c r="G55" s="304" t="str">
        <x:v>https://www.rfc-editor.org/rfc/rfc7228.html</x:v>
      </x:c>
      <x:c r="H55" s="304" t="str">
        <x:v>Scope/content assessment; no implementation execution.</x:v>
      </x:c>
    </x:row>
    <x:row r="56" ht="114" customHeight="1">
      <x:c r="A56" s="315" t="str">
        <x:v>S51</x:v>
      </x:c>
      <x:c r="B56" s="304" t="str">
        <x:v>SAPIENT autonomous sensor system</x:v>
      </x:c>
      <x:c r="C56" s="304" t="str">
        <x:v>The guidance explains SAPIENT and reports its use in multinational experimentation. It includes combined use of SAPIENT, OSUS and OGC SWE with fixed and mobile ISR assets. This is official evidence that the communities have been connected in practice (Defence Science and Technology Laboratory 2024).</x:v>
      </x:c>
      <x:c r="D56" s="304" t="str">
        <x:v>Government implementation-ecosystem evidence</x:v>
      </x:c>
      <x:c r="E56" s="304" t="str">
        <x:v>Official guidance, version history and multinational experimentation account.</x:v>
      </x:c>
      <x:c r="F56" s="304" t="str">
        <x:v>MERLIN is not proposed to implement SAPIENT merely because the experiment used it. A native integration would require its actual versioned technical specification. The present use is a bounded implementation-context reference.</x:v>
      </x:c>
      <x:c r="G56" s="304" t="str">
        <x:v>https://www.gov.uk/guidance/sapient-autonomous-sensor-system</x:v>
      </x:c>
      <x:c r="H56" s="304" t="str">
        <x:v>Historical 2024 guidance retained; technical v2 sources now S110–S113. S124 is distinct 14 Oct 2026 guidance revision. Historical OSUS coexistence wording not found on current page; prior dated evidence retained.</x:v>
      </x:c>
    </x:row>
    <x:row r="57" ht="114" customHeight="1">
      <x:c r="A57" s="315" t="str">
        <x:v>S52</x:v>
      </x:c>
      <x:c r="B57" s="304" t="str">
        <x:v>Information technology—Sensor networks: Sensor Network Reference Architecture (SNRA)—Part 4: Entity models</x:v>
      </x:c>
      <x:c r="C57" s="304" t="str">
        <x:v>The standard provides entity models for sensor-network designers and integrators. It distinguishes physical from functional entities and presents high-level node and network organization. Its purpose is broader reusable architecture, not a supplier-specific UGS description (ISO/IEC 2013).</x:v>
      </x:c>
      <x:c r="D57" s="304" t="str">
        <x:v>Published industry reference architecture / entity models</x:v>
      </x:c>
      <x:c r="E57" s="304" t="str">
        <x:v>Official catalog plus public standard preview: introduction, §5, §6.1.1, Figures 1–2 and Table 1; later detailed clauses not inspected.</x:v>
      </x:c>
      <x:c r="F57" s="304" t="str">
        <x:v>The introduction states that the series has no compliance requirements of its own. Its present role is a cited architectural reference, while an eventual OGC profile would state its separate implementable requirements. Claims of SNRA certification would therefore be inappropriate.</x:v>
      </x:c>
      <x:c r="G57" s="304" t="str">
        <x:v>https://www.iso.org/standard/57094.html</x:v>
      </x:c>
      <x:c r="H57" s="304" t="str">
        <x:v>Scope/content assessment; no implementation execution.</x:v>
      </x:c>
    </x:row>
    <x:row r="58" ht="114" customHeight="1">
      <x:c r="A58" s="316" t="str">
        <x:v>S53</x:v>
      </x:c>
      <x:c r="B58" s="317" t="str">
        <x:v>The Interfaces Group MIB</x:v>
      </x:c>
      <x:c r="C58" s="317" t="str">
        <x:v>IETF publishes The Interfaces Group MIB for its own intended technical/research community; original scope is Hardware, networking and topology.</x:v>
      </x:c>
      <x:c r="D58" s="317" t="str">
        <x:v>Complementary research and design precedent</x:v>
      </x:c>
      <x:c r="E58" s="317" t="str">
        <x:v>Selected published RFC clauses and interface model; later profile/ISA comparison</x:v>
      </x:c>
      <x:c r="F58" s="317" t="str">
        <x:v>Interface identification, type, stacking and operational versus administrative status are independently defined management concepts. Retain as mature interface precedent for R13–R15, distinct from electrical power interfaces and physical components. The RFC specifies an SNMP MIB; MERLIN borrows applicable definitions and does not operate an RFC 2863 agent. RFC interfaces/topology meaning may be translated into SensorML descriptions, but no SNMP/YANG agent has been implemented.</x:v>
      </x:c>
      <x:c r="G58" s="317" t="str">
        <x:v>https://www.rfc-editor.org/rfc/rfc2863.html</x:v>
      </x:c>
      <x:c r="H58" s="317" t="str">
        <x:v>Source-bounded comparison; no executed cross-vendor integration or profile acceptance</x:v>
      </x:c>
    </x:row>
    <x:row r="59" ht="114" customHeight="1">
      <x:c r="A59" s="316" t="str">
        <x:v>S54</x:v>
      </x:c>
      <x:c r="B59" s="317" t="str">
        <x:v>A YANG Data Model for Interface Management</x:v>
      </x:c>
      <x:c r="C59" s="317" t="str">
        <x:v>IETF publishes A YANG Data Model for Interface Management for its own intended technical/research community; original scope is Hardware, networking and topology.</x:v>
      </x:c>
      <x:c r="D59" s="317" t="str">
        <x:v>Complementary research and design precedent</x:v>
      </x:c>
      <x:c r="E59" s="317" t="str">
        <x:v>Published RFC §§2–4 and selected YANG definitions inspected in profile/ISA comparison</x:v>
      </x:c>
      <x:c r="F59" s="317" t="str">
        <x:v>Named network interfaces, oper-status, admin-status and interface layering refine descriptions of managed links. Candidate semantic donor for communications interface groups, with actual communications mediation distinguished from equipment containment. RFC 8343 YANG conformance is not achieved by projecting interface facts into a SWE CharacteristicList. RFC interfaces/topology meaning may be translated into SensorML descriptions, but no SNMP/YANG agent has been implemented.</x:v>
      </x:c>
      <x:c r="G59" s="317" t="str">
        <x:v>https://www.rfc-editor.org/rfc/rfc8343.html</x:v>
      </x:c>
      <x:c r="H59" s="317" t="str">
        <x:v>Source-bounded comparison; no executed cross-vendor integration or profile acceptance</x:v>
      </x:c>
    </x:row>
    <x:row r="60" ht="114" customHeight="1">
      <x:c r="A60" s="316" t="str">
        <x:v>S55</x:v>
      </x:c>
      <x:c r="B60" s="317" t="str">
        <x:v>A YANG Data Model for Network Topologies</x:v>
      </x:c>
      <x:c r="C60" s="317" t="str">
        <x:v>IETF publishes A YANG Data Model for Network Topologies for its own intended technical/research community; original scope is Hardware, networking and topology.</x:v>
      </x:c>
      <x:c r="D60" s="317" t="str">
        <x:v>Complementary research and design precedent</x:v>
      </x:c>
      <x:c r="E60" s="317" t="str">
        <x:v>Selected RFC §§4.2–4.4.2 and model definitions inspected during main-profile drafting</x:v>
      </x:c>
      <x:c r="F60" s="317" t="str">
        <x:v>Nodes, links, termination points and supporting topology establish a mature graph vocabulary for managed networks. Helps keep R15 link semantics separate from deployment, physical containment, representation proxies and power supply. A network topology graph is not automatically the physical sensor equipment tree or the CSAPI resource graph. RFC interfaces/topology meaning may be translated into SensorML descriptions, but no SNMP/YANG agent has been implemented.</x:v>
      </x:c>
      <x:c r="G60" s="317" t="str">
        <x:v>https://www.rfc-editor.org/rfc/rfc8345.html</x:v>
      </x:c>
      <x:c r="H60" s="317" t="str">
        <x:v>Source-bounded comparison; no executed cross-vendor integration or profile acceptance</x:v>
      </x:c>
    </x:row>
    <x:row r="61" ht="101" customHeight="1">
      <x:c r="A61" s="316" t="str">
        <x:v>S56</x:v>
      </x:c>
      <x:c r="B61" s="317" t="str">
        <x:v>The profile Link Relation Type</x:v>
      </x:c>
      <x:c r="C61" s="317" t="str">
        <x:v>IETF publishes The profile Link Relation Type for its own intended technical/research community; original scope is API profiles, identity and references.</x:v>
      </x:c>
      <x:c r="D61" s="317" t="str">
        <x:v>Underlying identifier/profile-link syntax; MERLIN reference design is authored</x:v>
      </x:c>
      <x:c r="E61" s="317" t="str">
        <x:v>Sections 3–5 inspected in main-profile draft and companion design primer</x:v>
      </x:c>
      <x:c r="F61" s="317" t="str">
        <x:v>Standardized profile link relation allows a resource to advertise additional representation semantics. Useful for declaring a future MERLIN application profile without inventing a parallel API surface. A profile link does not automatically validate content, install an ontology or prove conformance to its target. Selected semantic/reference content, comparative technical evidence, or informative precedent; no additional protocol stack follows by citation.</x:v>
      </x:c>
      <x:c r="G61" s="317" t="str">
        <x:v>https://www.rfc-editor.org/rfc/rfc6906.html</x:v>
      </x:c>
      <x:c r="H61" s="317" t="str">
        <x:v>Source-bounded comparison; no executed cross-vendor integration or profile acceptance</x:v>
      </x:c>
    </x:row>
    <x:row r="62" ht="101" customHeight="1">
      <x:c r="A62" s="316" t="str">
        <x:v>S57</x:v>
      </x:c>
      <x:c r="B62" s="317" t="str">
        <x:v>Uniform Resource Identifier Generic Syntax</x:v>
      </x:c>
      <x:c r="C62" s="317" t="str">
        <x:v>IETF publishes Uniform Resource Identifier Generic Syntax for its own intended technical/research community; original scope is API profiles, identity and references.</x:v>
      </x:c>
      <x:c r="D62" s="317" t="str">
        <x:v>Underlying identifier/profile-link syntax; MERLIN reference design is authored</x:v>
      </x:c>
      <x:c r="E62" s="317" t="str">
        <x:v>§§1.1.3 and 3.5 inspected in the design-rationale primer</x:v>
      </x:c>
      <x:c r="F62" s="317" t="str">
        <x:v>Resource identifiers, URI references and fragment syntax provide the generic addressing basis. Supports scrutinizing proposed owner-resource#native-id references to embedded SensorML content. Fragment dereferencing, target search, revision stability and inter-resource identity remain profile-authored conventions. Selected semantic/reference content, comparative technical evidence, or informative precedent; no additional protocol stack follows by citation.</x:v>
      </x:c>
      <x:c r="G62" s="317" t="str">
        <x:v>https://www.rfc-editor.org/rfc/rfc3986.html</x:v>
      </x:c>
      <x:c r="H62" s="317" t="str">
        <x:v>Source-bounded comparison; no executed cross-vendor integration or profile acceptance</x:v>
      </x:c>
    </x:row>
    <x:row r="63" ht="114" customHeight="1">
      <x:c r="A63" s="316" t="str">
        <x:v>S58</x:v>
      </x:c>
      <x:c r="B63" s="317" t="str">
        <x:v>JavaScript Object Notation Pointer</x:v>
      </x:c>
      <x:c r="C63" s="317" t="str">
        <x:v>IETF publishes JavaScript Object Notation Pointer for its own intended technical/research community; original scope is API profiles, identity and references.</x:v>
      </x:c>
      <x:c r="D63" s="317" t="str">
        <x:v>Underlying identifier/profile-link syntax; MERLIN reference design is authored</x:v>
      </x:c>
      <x:c r="E63" s="317" t="str">
        <x:v>§§3–6 inspected in the companion primer</x:v>
      </x:c>
      <x:c r="F63" s="317" t="str">
        <x:v>JSON Pointer designates a structural position using encoded reference tokens. Important negative comparison for owner#id design because a native SensorML id is not equivalent to a JSON array index or pointer. Do not claim the proposed embedded-id fragment format implements JSON Pointer or uses its media-type fragment registration. Selected semantic/reference content, comparative technical evidence, or informative precedent; no additional protocol stack follows by citation.</x:v>
      </x:c>
      <x:c r="G63" s="317" t="str">
        <x:v>https://www.rfc-editor.org/rfc/rfc6901.html</x:v>
      </x:c>
      <x:c r="H63" s="317" t="str">
        <x:v>Source-bounded comparison; no executed cross-vendor integration or profile acceptance</x:v>
      </x:c>
    </x:row>
    <x:row r="64" ht="127" customHeight="1">
      <x:c r="A64" s="316" t="str">
        <x:v>S59</x:v>
      </x:c>
      <x:c r="B64" s="317" t="str">
        <x:v>SensorML 3.0 JSON Schema collection</x:v>
      </x:c>
      <x:c r="C64" s="317" t="str">
        <x:v>OGC publishes SensorML 3.0 JSON Schema collection for its own intended technical/research community; original scope is OGC encoding artifacts.</x:v>
      </x:c>
      <x:c r="D64" s="317" t="str">
        <x:v>Supporting base OGC JSON encoding and structural carrier</x:v>
      </x:c>
      <x:c r="E64" s="317" t="str">
        <x:v>Selected live repository schema files inspected for legal JSON carriers and native identifying properties</x:v>
      </x:c>
      <x:c r="F64" s="317" t="str">
        <x:v>Machine-readable schema constraints specify where characteristics, capabilities, events and child structures can actually appear. Essential supporting implementation artifact for the v0.3 OGC binding choices, not an independent application profile. Inspection of selected JSON schemas is not a complete implementation validation nor evidence of allowed arbitrary top-level members. Use only permitted JSON schema carriers together with applicable OGC normative requirements; selected schema inspection is not comprehensive validation.</x:v>
      </x:c>
      <x:c r="G64" s="317" t="str">
        <x:v>https://schemas.opengis.net/sensorML/3.0/json/</x:v>
      </x:c>
      <x:c r="H64" s="317" t="str">
        <x:v>Selected native SensorML JSON artifacts support approved v0.3.4/v0.3.5 carriers. Additional inspected files: Mode, DescribedObject, AbstractProcess, Settings, commonDefs, sweCommonDefs and DerivedProperty. Full schema closure not recovered.</x:v>
      </x:c>
    </x:row>
    <x:row r="65" ht="114" customHeight="1">
      <x:c r="A65" s="316" t="str">
        <x:v>S60</x:v>
      </x:c>
      <x:c r="B65" s="317" t="str">
        <x:v>CSAPI Part 2 SystemEvent JSON Schema</x:v>
      </x:c>
      <x:c r="C65" s="317" t="str">
        <x:v>OGC publishes CSAPI Part 2 SystemEvent JSON Schema for its own intended technical/research community; original scope is OGC encoding artifacts.</x:v>
      </x:c>
      <x:c r="D65" s="317" t="str">
        <x:v>Supporting base OGC JSON encoding and structural carrier</x:v>
      </x:c>
      <x:c r="E65" s="317" t="str">
        <x:v>Specific event schema inspected in Power Source binding review</x:v>
      </x:c>
      <x:c r="F65" s="317" t="str">
        <x:v>Defines concrete SystemEvent JSON content derived from SensorML Event and required event-member structure. Supports native optional system-service history rather than automatically inventing a standalone maintenance collection. Optional SystemEvents class and exact event encoding are separate from SensorML embedded history and ISA Event updates. Use only permitted JSON schema carriers together with applicable OGC normative requirements; selected schema inspection is not comprehensive validation.</x:v>
      </x:c>
      <x:c r="G65" s="317" t="str">
        <x:v>https://schemas.opengis.net/ogcapi/connected-systems/part2/1.0/</x:v>
      </x:c>
      <x:c r="H65" s="317" t="str">
        <x:v>Optional SystemEvent supporting schema; not a newly implemented service capability. R18 embedded history retained; operational SystemEvent access/coexistence remains an explicit residual, IG04.</x:v>
      </x:c>
    </x:row>
    <x:row r="66" ht="114" customHeight="1">
      <x:c r="A66" s="316" t="str">
        <x:v>S61</x:v>
      </x:c>
      <x:c r="B66" s="317" t="str">
        <x:v>Monitoring and Control MIB for Power and Energy</x:v>
      </x:c>
      <x:c r="C66" s="317" t="str">
        <x:v>IETF publishes Monitoring and Control MIB for Power and Energy for its own intended technical/research community; original scope is Power domain and equipment management.</x:v>
      </x:c>
      <x:c r="D66" s="317" t="str">
        <x:v>Power-domain specialization, comparator, or quantitative donor</x:v>
      </x:c>
      <x:c r="E66" s="317" t="str">
        <x:v>Selected §§5 and 9 reviewed in power-domain research</x:v>
      </x:c>
      <x:c r="F66" s="317" t="str">
        <x:v>Energy, power, demand, quality of readings and monitoring/control data have defined network-management semantics. Companion realization supporting the RFC 7326 energy information framework and proposed qualified electrical observations. RFC 7460 MIB objects, requirements and units must not be copied wholesale into SWE with a native MIB conformance claim. The IETF EMAN information-model donor is distinct from native SNMP/MIB, CIM, Redfish or OMA implementations; any OGC mapping is profile-authored.</x:v>
      </x:c>
      <x:c r="G66" s="317" t="str">
        <x:v>https://www.rfc-editor.org/rfc/rfc7460.html</x:v>
      </x:c>
      <x:c r="H66" s="317" t="str">
        <x:v>Source-bounded comparison; no executed cross-vendor integration or profile acceptance</x:v>
      </x:c>
    </x:row>
    <x:row r="67" ht="101" customHeight="1">
      <x:c r="A67" s="316" t="str">
        <x:v>S62</x:v>
      </x:c>
      <x:c r="B67" s="317" t="str">
        <x:v>Energy Object Context MIB</x:v>
      </x:c>
      <x:c r="C67" s="317" t="str">
        <x:v>IETF publishes Energy Object Context MIB for its own intended technical/research community; original scope is Power domain and equipment management.</x:v>
      </x:c>
      <x:c r="D67" s="317" t="str">
        <x:v>Power-domain specialization, comparator, or quantitative donor</x:v>
      </x:c>
      <x:c r="E67" s="317" t="str">
        <x:v>Selected §§5–6 and relationship/token definitions inspected by Power Source</x:v>
      </x:c>
      <x:c r="F67" s="317" t="str">
        <x:v>Concrete energy-object identity, context and supply/metering relations realize related framework concepts. Provides a check that RFC 7326 predicate labels and the MIB's encoded tokens are not carelessly equated. Power relationships in SensorML are authored mappings, not native RFC 7461 agent behavior. The IETF EMAN information-model donor is distinct from native SNMP/MIB, CIM, Redfish or OMA implementations; any OGC mapping is profile-authored.</x:v>
      </x:c>
      <x:c r="G67" s="317" t="str">
        <x:v>https://www.rfc-editor.org/rfc/rfc7461.html</x:v>
      </x:c>
      <x:c r="H67" s="317" t="str">
        <x:v>Source-bounded comparison; no executed cross-vendor integration or profile acceptance</x:v>
      </x:c>
    </x:row>
    <x:row r="68" ht="114" customHeight="1">
      <x:c r="A68" s="316" t="str">
        <x:v>S63</x:v>
      </x:c>
      <x:c r="B68" s="317" t="str">
        <x:v>CIM_Battery in CIM Schema 2.31</x:v>
      </x:c>
      <x:c r="C68" s="317" t="str">
        <x:v>DMTF publishes CIM_Battery in CIM Schema 2.31 for its own intended technical/research community; original scope is Power domain and equipment management.</x:v>
      </x:c>
      <x:c r="D68" s="317" t="str">
        <x:v>Power-domain specialization, comparator, or quantitative donor</x:v>
      </x:c>
      <x:c r="E68" s="317" t="str">
        <x:v>Selected published class properties inspected, especially EstimatedRunTime, TimeToFullCharge, HealthPercent</x:v>
      </x:c>
      <x:c r="F68" s="317" t="str">
        <x:v>Battery runtime, external-power assumptions, charge timing and health meanings provide bounded donor definitions. Supports optional narrowly translated runtime estimates rather than replacing the energy-object framework with a complete CIM ontology. The DISR's retired CIM schema 2.10.1 is not the version inspected and does not confer status on this class. The IETF EMAN information-model donor is distinct from native SNMP/MIB, CIM, Redfish or OMA implementations; any OGC mapping is profile-authored.</x:v>
      </x:c>
      <x:c r="G68" s="317" t="str">
        <x:v>https://www.dmtf.org/standards/cim</x:v>
      </x:c>
      <x:c r="H68" s="317" t="str">
        <x:v>Source-bounded comparison; no executed cross-vendor integration or profile acceptance</x:v>
      </x:c>
    </x:row>
    <x:row r="69" ht="114" customHeight="1">
      <x:c r="A69" s="316" t="str">
        <x:v>S64</x:v>
      </x:c>
      <x:c r="B69" s="317" t="str">
        <x:v>Redfish Battery JSON Schema</x:v>
      </x:c>
      <x:c r="C69" s="317" t="str">
        <x:v>DMTF publishes Redfish Battery JSON Schema for its own intended technical/research community; original scope is Power domain and equipment management.</x:v>
      </x:c>
      <x:c r="D69" s="317" t="str">
        <x:v>Power-domain specialization, comparator, or quantitative donor</x:v>
      </x:c>
      <x:c r="E69" s="317" t="str">
        <x:v>Named versioned schema selected and read in Power Source comparison</x:v>
      </x:c>
      <x:c r="F69" s="317" t="str">
        <x:v>Battery capacity, storage and device associations show mature equipment-oriented REST modeling. Serious battery specialization comparator, especially for suppliers already exposing Redfish resources. The comparison did not establish implementation of a Redfish service or conformance to all referenced schema dependencies. The IETF EMAN information-model donor is distinct from native SNMP/MIB, CIM, Redfish or OMA implementations; any OGC mapping is profile-authored.</x:v>
      </x:c>
      <x:c r="G69" s="317" t="str">
        <x:v>https://github.com/DMTF/Redfish-Publications/blob/master/json-schema/Battery.v1_4_0.json</x:v>
      </x:c>
      <x:c r="H69" s="317" t="str">
        <x:v>Source-bounded comparison; no executed cross-vendor integration or profile acceptance</x:v>
      </x:c>
    </x:row>
    <x:row r="70" ht="101" customHeight="1">
      <x:c r="A70" s="316" t="str">
        <x:v>S65</x:v>
      </x:c>
      <x:c r="B70" s="317" t="str">
        <x:v>Redfish BatteryMetrics JSON Schema</x:v>
      </x:c>
      <x:c r="C70" s="317" t="str">
        <x:v>DMTF publishes Redfish BatteryMetrics JSON Schema for its own intended technical/research community; original scope is Power domain and equipment management.</x:v>
      </x:c>
      <x:c r="D70" s="317" t="str">
        <x:v>Power-domain specialization, comparator, or quantitative donor</x:v>
      </x:c>
      <x:c r="E70" s="317" t="str">
        <x:v>Named versioned schema read in Power Source comparison</x:v>
      </x:c>
      <x:c r="F70" s="317" t="str">
        <x:v>Metering, charge and electrical measurements link battery data to sensor-style quantities. Useful comparator for keeping battery identity separate from continuously sampled electrical values. Do not mistake this inspected schema revision for the latest complete Redfish standard or a CSAPI-compatible JSON Schema. The IETF EMAN information-model donor is distinct from native SNMP/MIB, CIM, Redfish or OMA implementations; any OGC mapping is profile-authored.</x:v>
      </x:c>
      <x:c r="G70" s="317" t="str">
        <x:v>https://github.com/DMTF/Redfish-Publications/blob/master/json-schema/BatteryMetrics.v1_1_0.json</x:v>
      </x:c>
      <x:c r="H70" s="317" t="str">
        <x:v>Source-bounded comparison; no executed cross-vendor integration or profile acceptance</x:v>
      </x:c>
    </x:row>
    <x:row r="71" ht="114" customHeight="1">
      <x:c r="A71" s="316" t="str">
        <x:v>S66</x:v>
      </x:c>
      <x:c r="B71" s="317" t="str">
        <x:v>Redfish PowerDistribution JSON Schema</x:v>
      </x:c>
      <x:c r="C71" s="317" t="str">
        <x:v>DMTF publishes Redfish PowerDistribution JSON Schema for its own intended technical/research community; original scope is Power domain and equipment management.</x:v>
      </x:c>
      <x:c r="D71" s="317" t="str">
        <x:v>Power-domain specialization, comparator, or quantitative donor</x:v>
      </x:c>
      <x:c r="E71" s="317" t="str">
        <x:v>Named versioned schema read for circuits, outlets and redundancy structures</x:v>
      </x:c>
      <x:c r="F71" s="317" t="str">
        <x:v>Describes equipment-facing power circuits, outlet relationships and redundant electrical distribution. A genuine alternative modeling approach considered alongside RFC 7326, not a dismissed battery widget. The selected power recommendation did not adopt full Redfish resource architecture or perform cross-vendor Redfish testing. The IETF EMAN information-model donor is distinct from native SNMP/MIB, CIM, Redfish or OMA implementations; any OGC mapping is profile-authored.</x:v>
      </x:c>
      <x:c r="G71" s="317" t="str">
        <x:v>https://github.com/DMTF/Redfish-Publications/blob/master/json-schema/PowerDistribution.v1_4_0.json</x:v>
      </x:c>
      <x:c r="H71" s="317" t="str">
        <x:v>Source-bounded comparison; no executed cross-vendor integration or profile acceptance</x:v>
      </x:c>
    </x:row>
    <x:row r="72" ht="101" customHeight="1">
      <x:c r="A72" s="316" t="str">
        <x:v>S67</x:v>
      </x:c>
      <x:c r="B72" s="317" t="str">
        <x:v>Redfish Resource and Schema Guide</x:v>
      </x:c>
      <x:c r="C72" s="317" t="str">
        <x:v>DMTF publishes Redfish Resource and Schema Guide for its own intended technical/research community; original scope is Power domain and equipment management.</x:v>
      </x:c>
      <x:c r="D72" s="317" t="str">
        <x:v>Power-domain specialization, comparator, or quantitative donor</x:v>
      </x:c>
      <x:c r="E72" s="317" t="str">
        <x:v>Guide metadata and copyright/patent notices examined with named Redfish schemas</x:v>
      </x:c>
      <x:c r="F72" s="317" t="str">
        <x:v>Defines documentation context and implementation-policy considerations for the selected Redfish comparison. Helps keep inspectability, document redistribution rights and implementation/patent matters distinct. A public schema is not blanket license or proof that a SensorML mapping implements Redfish. The IETF EMAN information-model donor is distinct from native SNMP/MIB, CIM, Redfish or OMA implementations; any OGC mapping is profile-authored.</x:v>
      </x:c>
      <x:c r="G72" s="317" t="str">
        <x:v>https://www.dmtf.org/standards/redfish</x:v>
      </x:c>
      <x:c r="H72" s="317" t="str">
        <x:v>Source-bounded comparison; no executed cross-vendor integration or profile acceptance</x:v>
      </x:c>
    </x:row>
    <x:row r="73" ht="114" customHeight="1">
      <x:c r="A73" s="316" t="str">
        <x:v>S68</x:v>
      </x:c>
      <x:c r="B73" s="317" t="str">
        <x:v>Lightweight M2M Core Device Object appendix</x:v>
      </x:c>
      <x:c r="C73" s="317" t="str">
        <x:v>OMA publishes Lightweight M2M Core Device Object appendix for its own intended technical/research community; original scope is Power domain and equipment management.</x:v>
      </x:c>
      <x:c r="D73" s="317" t="str">
        <x:v>Power-domain specialization, comparator, or quantitative donor</x:v>
      </x:c>
      <x:c r="E73" s="317" t="str">
        <x:v>Dated frozen core specification, Appendix E.4, inspected in Power Source comparison</x:v>
      </x:c>
      <x:c r="F73" s="317" t="str">
        <x:v>Available power-source kinds, voltage/current and internal-battery level/status are standardized at compact device level. Useful comparison for sparse IoT providers but weaker organizing source for shared generation, distribution and meter coverage. This is not an adoption of an OMA Lightweight M2M client/server stack or of a live mutable object registry. The IETF EMAN information-model donor is distinct from native SNMP/MIB, CIM, Redfish or OMA implementations; any OGC mapping is profile-authored.</x:v>
      </x:c>
      <x:c r="G73" s="317" t="str">
        <x:v>https://www.openmobilealliance.org/release/LightweightM2M/V1_2_2-20240613-A/OMA-TS-LightweightM2M_Core-V1_2_2-20240613-A.pdf</x:v>
      </x:c>
      <x:c r="H73" s="317" t="str">
        <x:v>Source-bounded comparison; no executed cross-vendor integration or profile acceptance</x:v>
      </x:c>
    </x:row>
    <x:row r="74" ht="114" customHeight="1">
      <x:c r="A74" s="316" t="str">
        <x:v>S69</x:v>
      </x:c>
      <x:c r="B74" s="317" t="str">
        <x:v>IETF Intellectual Property Rights guidance</x:v>
      </x:c>
      <x:c r="C74" s="317" t="str">
        <x:v>IETF publishes IETF Intellectual Property Rights guidance for its own intended technical/research community; original scope is Rights and governance evidence.</x:v>
      </x:c>
      <x:c r="D74" s="317" t="str">
        <x:v>Open development/rights comparator</x:v>
      </x:c>
      <x:c r="E74" s="317" t="str">
        <x:v>Selected public document, code-component and patent guidance consulted in Power Source</x:v>
      </x:c>
      <x:c r="F74" s="317" t="str">
        <x:v>Open access to RFC text and ability to implement published specifications are different from permission to extract code or patent clearance. Supports reuse-terms assessment for prospective source-derived power definitions. Informative legal/organizational guidance; not an engineering interface specification nor a substitute for rights clearance. Selected semantic/reference content, comparative technical evidence, or informative precedent; no additional protocol stack follows by citation.</x:v>
      </x:c>
      <x:c r="G74" s="317" t="str">
        <x:v>https://www.ietf.org/standards/ipr/</x:v>
      </x:c>
      <x:c r="H74" s="317" t="str">
        <x:v>Source-bounded comparison; no executed cross-vendor integration or profile acceptance</x:v>
      </x:c>
    </x:row>
    <x:row r="75" ht="114" customHeight="1">
      <x:c r="A75" s="316" t="str">
        <x:v>S70</x:v>
      </x:c>
      <x:c r="B75" s="317" t="str">
        <x:v>UCUM License</x:v>
      </x:c>
      <x:c r="C75" s="317" t="str">
        <x:v>UCUM publishes UCUM License for its own intended technical/research community; original scope is Rights and governance evidence.</x:v>
      </x:c>
      <x:c r="D75" s="317" t="str">
        <x:v>Open development/rights comparator</x:v>
      </x:c>
      <x:c r="E75" s="317" t="str">
        <x:v>License terms consulted in Power Source / foundational research</x:v>
      </x:c>
      <x:c r="F75" s="317" t="str">
        <x:v>Implementing UCUM codes and preserving standardized unit definitions have explicit use and modification implications. Supports planning a unit-code dependency without inventing altered meanings under existing standardized codes. License evidence does not establish a new quantity taxonomy or an edition change from the SensorML reference. Selected semantic/reference content, comparative technical evidence, or informative precedent; no additional protocol stack follows by citation.</x:v>
      </x:c>
      <x:c r="G75" s="317" t="str">
        <x:v>https://ucum.org/license</x:v>
      </x:c>
      <x:c r="H75" s="317" t="str">
        <x:v>Source-bounded comparison; no executed cross-vendor integration or profile acceptance</x:v>
      </x:c>
    </x:row>
    <x:row r="76" ht="127" customHeight="1">
      <x:c r="A76" s="316" t="str">
        <x:v>S71</x:v>
      </x:c>
      <x:c r="B76" s="317" t="str">
        <x:v>IEEE 1451.0-2024 smart transducer common standard</x:v>
      </x:c>
      <x:c r="C76" s="317" t="str">
        <x:v>IEEE SA publishes IEEE 1451.0-2024 smart transducer common standard for its own intended technical/research community; original scope is IEEE smart transducer / TEDS.</x:v>
      </x:c>
      <x:c r="D76" s="317" t="str">
        <x:v>Candidate transducer-domain semantics; normative clause access pending</x:v>
      </x:c>
      <x:c r="E76" s="317" t="str">
        <x:v>Official IEEE scope/status; full normative edition NOT obtained; current Playground used as indirect evidence</x:v>
      </x:c>
      <x:c r="F76" s="317" t="str">
        <x:v>Current transducer interfaces, TEDS, NCAP/TIM services, channels and data descriptions are a strong domain candidate. Priority modern technical edition for transducer-specific capability content, distinct from the entire physical sensing system. Field cardinalities, normative optionality, exact clauses and 2010 delta remain blocked pending authorized full-standard access. A future selected IEEE transducer semantic mapping to SensorML/SWE would be a new OGC binding; full IEEE conformance claims need authorized IEEE/ISO text and native service obligations.</x:v>
      </x:c>
      <x:c r="G76" s="317" t="str">
        <x:v>https://standards.ieee.org/ieee/1451.0/11001/</x:v>
      </x:c>
      <x:c r="H76" s="317" t="str">
        <x:v>Source-bounded comparison; no executed cross-vendor integration or profile acceptance</x:v>
      </x:c>
    </x:row>
    <x:row r="77" ht="114" customHeight="1">
      <x:c r="A77" s="316" t="str">
        <x:v>S72</x:v>
      </x:c>
      <x:c r="B77" s="317" t="str">
        <x:v>ISO/IEC/IEEE 21450:2010 smart transducer common functions</x:v>
      </x:c>
      <x:c r="C77" s="317" t="str">
        <x:v>ISO/IEC/IEEE publishes ISO/IEC/IEEE 21450:2010 smart transducer common functions for its own intended technical/research community; original scope is IEEE smart transducer / TEDS.</x:v>
      </x:c>
      <x:c r="D77" s="317" t="str">
        <x:v>Candidate transducer-domain semantics; normative clause access pending</x:v>
      </x:c>
      <x:c r="E77" s="317" t="str">
        <x:v>Official catalogue scope and confirmation, full normative text inaccessible during IEEE Pass 1A</x:v>
      </x:c>
      <x:c r="F77" s="317" t="str">
        <x:v>International publication of the earlier common IEEE 1451.0 lineage; common TEDS and services framework. Required version-to-version comparator before choosing whether to depend on the revised 2024 edition. Listed Emerging / IC-Emerging in the supplied complete DISR baseline; inherited IEEE 1451.0-2007 entry is Retired. A future selected IEEE transducer semantic mapping to SensorML/SWE would be a new OGC binding; full IEEE conformance claims need authorized IEEE/ISO text and native service obligations.</x:v>
      </x:c>
      <x:c r="G77" s="317" t="str">
        <x:v>https://www.iso.org/standard/54356.html</x:v>
      </x:c>
      <x:c r="H77" s="317" t="str">
        <x:v>Source-bounded comparison; no executed cross-vendor integration or profile acceptance</x:v>
      </x:c>
    </x:row>
    <x:row r="78" ht="114" customHeight="1">
      <x:c r="A78" s="316" t="str">
        <x:v>S73</x:v>
      </x:c>
      <x:c r="B78" s="317" t="str">
        <x:v>ISO/IEC/IEEE 21451-1:2010 NCAP information model</x:v>
      </x:c>
      <x:c r="C78" s="317" t="str">
        <x:v>ISO/IEC/IEEE publishes ISO/IEC/IEEE 21451-1:2010 NCAP information model for its own intended technical/research community; original scope is IEEE smart transducer / TEDS.</x:v>
      </x:c>
      <x:c r="D78" s="317" t="str">
        <x:v>Candidate transducer-domain semantics; normative clause access pending</x:v>
      </x:c>
      <x:c r="E78" s="317" t="str">
        <x:v>Official catalogue scope and 2025 confirmation, full normative edition not inspected</x:v>
      </x:c>
      <x:c r="F78" s="317" t="str">
        <x:v>Network Capable Application Processor objects and functions concern smart transducer processing/network access. Relevant lower-layer native interface comparison and possible equipment-facing semantic donor. Do not misstate it as a complete deployed-system information model or as mandating NCAP runtime for CSAPI. A future selected IEEE transducer semantic mapping to SensorML/SWE would be a new OGC binding; full IEEE conformance claims need authorized IEEE/ISO text and native service obligations.</x:v>
      </x:c>
      <x:c r="G78" s="317" t="str">
        <x:v>https://www.iso.org/standard/54357.html</x:v>
      </x:c>
      <x:c r="H78" s="317" t="str">
        <x:v>Source-bounded comparison; no executed cross-vendor integration or profile acceptance</x:v>
      </x:c>
    </x:row>
    <x:row r="79" ht="114" customHeight="1">
      <x:c r="A79" s="316" t="str">
        <x:v>S74</x:v>
      </x:c>
      <x:c r="B79" s="317" t="str">
        <x:v>ISO/IEC/IEEE 21451-2:2010 digital transducer interface and TEDS</x:v>
      </x:c>
      <x:c r="C79" s="317" t="str">
        <x:v>ISO/IEC/IEEE publishes ISO/IEC/IEEE 21451-2:2010 digital transducer interface and TEDS for its own intended technical/research community; original scope is IEEE smart transducer / TEDS.</x:v>
      </x:c>
      <x:c r="D79" s="317" t="str">
        <x:v>Candidate transducer-domain semantics; normative clause access pending</x:v>
      </x:c>
      <x:c r="E79" s="317" t="str">
        <x:v>Official catalogue scope; full normative tables and requirements not available</x:v>
      </x:c>
      <x:c r="F79" s="317" t="str">
        <x:v>Digital microprocessor/transducer communications and associated electronic data-sheet formats. Useful detailed lineage when verifying 2024 channel-description continuity and transport-specific material. Published catalogue does not establish the mandatory field mapping or full current transducer-channel vocabulary. A future selected IEEE transducer semantic mapping to SensorML/SWE would be a new OGC binding; full IEEE conformance claims need authorized IEEE/ISO text and native service obligations.</x:v>
      </x:c>
      <x:c r="G79" s="317" t="str">
        <x:v>https://www.iso.org/standard/54367.html</x:v>
      </x:c>
      <x:c r="H79" s="317" t="str">
        <x:v>Source-bounded comparison; no executed cross-vendor integration or profile acceptance</x:v>
      </x:c>
    </x:row>
    <x:row r="80" ht="114" customHeight="1">
      <x:c r="A80" s="316" t="str">
        <x:v>S75</x:v>
      </x:c>
      <x:c r="B80" s="317" t="str">
        <x:v>ISO/IEC/IEEE 21451-4:2010 mixed-mode interface and TEDS</x:v>
      </x:c>
      <x:c r="C80" s="317" t="str">
        <x:v>ISO/IEC/IEEE publishes ISO/IEC/IEEE 21451-4:2010 mixed-mode interface and TEDS for its own intended technical/research community; original scope is IEEE smart transducer / TEDS.</x:v>
      </x:c>
      <x:c r="D80" s="317" t="str">
        <x:v>Candidate transducer-domain semantics; normative clause access pending</x:v>
      </x:c>
      <x:c r="E80" s="317" t="str">
        <x:v>Official catalogue scope; detailed mixed-mode normative text not available</x:v>
      </x:c>
      <x:c r="F80" s="317" t="str">
        <x:v>Mixed-mode/analog transducer interfaces and corresponding electronic data sheets. Relevant when a native transducer integration uses that modality; not universal CSAPI content. The applicability to a given MERLIN provider and precise TEDS field overlap requires explicit technical evidence. A future selected IEEE transducer semantic mapping to SensorML/SWE would be a new OGC binding; full IEEE conformance claims need authorized IEEE/ISO text and native service obligations.</x:v>
      </x:c>
      <x:c r="G80" s="317" t="str">
        <x:v>https://www.iso.org/standard/54368.html</x:v>
      </x:c>
      <x:c r="H80" s="317" t="str">
        <x:v>Source-bounded comparison; no executed cross-vendor integration or profile acceptance</x:v>
      </x:c>
    </x:row>
    <x:row r="81" ht="101" customHeight="1">
      <x:c r="A81" s="316" t="str">
        <x:v>S76</x:v>
      </x:c>
      <x:c r="B81" s="317" t="str">
        <x:v>IEEE 1451.1.6 MQTT extension</x:v>
      </x:c>
      <x:c r="C81" s="317" t="str">
        <x:v>IEEE SA publishes IEEE 1451.1.6 MQTT extension for its own intended technical/research community; original scope is IEEE smart transducer / TEDS.</x:v>
      </x:c>
      <x:c r="D81" s="317" t="str">
        <x:v>Candidate transducer-domain semantics; normative clause access pending</x:v>
      </x:c>
      <x:c r="E81" s="317" t="str">
        <x:v>IEEE publication/status page inspected; full normative clauses not examined</x:v>
      </x:c>
      <x:c r="F81" s="317" t="str">
        <x:v>MQTT-oriented IEEE 1451 device/network integration is a current family development. Informative adjacent protocol option if a native integration requires IEEE MQTT services. It is not an edition replacement for 21451-1 or a reason to make MQTT mandatory in MERLIN. A future selected IEEE transducer semantic mapping to SensorML/SWE would be a new OGC binding; full IEEE conformance claims need authorized IEEE/ISO text and native service obligations.</x:v>
      </x:c>
      <x:c r="G81" s="317" t="str">
        <x:v>https://standards.ieee.org/ieee/1451.1.6/11619/</x:v>
      </x:c>
      <x:c r="H81" s="317" t="str">
        <x:v>Source-bounded comparison; no executed cross-vendor integration or profile acceptance</x:v>
      </x:c>
    </x:row>
    <x:row r="82" ht="127" customHeight="1">
      <x:c r="A82" s="316" t="str">
        <x:v>S77</x:v>
      </x:c>
      <x:c r="B82" s="317" t="str">
        <x:v>IEEE 1451 Playground Meta TEDS</x:v>
      </x:c>
      <x:c r="C82" s="317" t="str">
        <x:v>IEEE 1451 Playground publishes IEEE 1451 Playground Meta TEDS for its own intended technical/research community; original scope is IEEE smart transducer / TEDS.</x:v>
      </x:c>
      <x:c r="D82" s="317" t="str">
        <x:v>Candidate transducer-domain semantics; normative clause access pending</x:v>
      </x:c>
      <x:c r="E82" s="317" t="str">
        <x:v>Public implementation-linked form, apparent §6.4 Table 13; NIST describes playground's validation purpose</x:v>
      </x:c>
      <x:c r="F82" s="317" t="str">
        <x:v>TIM/channel UUID, channel count, self-test time, control/vector groups and proxy-related fields are visible candidates. Informs transducer identity and meaningful multi-channel grouping without replacing equipment-role links. Playground interface is secondary to full normative text for exact field definitions, requirements and permitted structures. A future selected IEEE transducer semantic mapping to SensorML/SWE would be a new OGC binding; full IEEE conformance claims need authorized IEEE/ISO text and native service obligations.</x:v>
      </x:c>
      <x:c r="G82" s="317" t="str">
        <x:v>https://iml.ubi.pt/playground/docs/ieee1451/teds/meta-teds/</x:v>
      </x:c>
      <x:c r="H82" s="317" t="str">
        <x:v>Source-bounded comparison; no executed cross-vendor integration or profile acceptance</x:v>
      </x:c>
    </x:row>
    <x:row r="83" ht="114" customHeight="1">
      <x:c r="A83" s="316" t="str">
        <x:v>S78</x:v>
      </x:c>
      <x:c r="B83" s="317" t="str">
        <x:v>IEEE 1451 Playground TransducerChannel TEDS</x:v>
      </x:c>
      <x:c r="C83" s="317" t="str">
        <x:v>IEEE 1451 Playground publishes IEEE 1451 Playground TransducerChannel TEDS for its own intended technical/research community; original scope is IEEE smart transducer / TEDS.</x:v>
      </x:c>
      <x:c r="D83" s="317" t="str">
        <x:v>Candidate transducer-domain semantics; normative clause access pending</x:v>
      </x:c>
      <x:c r="E83" s="317" t="str">
        <x:v>Public form with apparent §6.5/Table 19 and detailed candidate fields; full standard missing</x:v>
      </x:c>
      <x:c r="F83" s="317" t="str">
        <x:v>Channel type, units, operational limits, worst-case uncertainty, calibration key, sampling, delays and self-test semantics. Strongest provisional IEEE source for refining R04 quantitative capability and timing under OGC carriers. The form cannot resolve conditional requirements, cardinalities or 2010-to-2024 changes alone. A future selected IEEE transducer semantic mapping to SensorML/SWE would be a new OGC binding; full IEEE conformance claims need authorized IEEE/ISO text and native service obligations.</x:v>
      </x:c>
      <x:c r="G83" s="317" t="str">
        <x:v>https://iml.ubi.pt/playground/docs/ieee1451/teds/transducer-channel-teds/</x:v>
      </x:c>
      <x:c r="H83" s="317" t="str">
        <x:v>Source-bounded comparison; no executed cross-vendor integration or profile acceptance</x:v>
      </x:c>
    </x:row>
    <x:row r="84" ht="114" customHeight="1">
      <x:c r="A84" s="316" t="str">
        <x:v>S79</x:v>
      </x:c>
      <x:c r="B84" s="317" t="str">
        <x:v>IEEE 1451 Playground Optional TEDS</x:v>
      </x:c>
      <x:c r="C84" s="317" t="str">
        <x:v>IEEE 1451 Playground publishes IEEE 1451 Playground Optional TEDS for its own intended technical/research community; original scope is IEEE smart transducer / TEDS.</x:v>
      </x:c>
      <x:c r="D84" s="317" t="str">
        <x:v>Candidate transducer-domain semantics; normative clause access pending</x:v>
      </x:c>
      <x:c r="E84" s="317" t="str">
        <x:v>Public descriptions of calibration, frequency response, identification, location, security and time-sync TEDS</x:v>
      </x:c>
      <x:c r="F84" s="317" t="str">
        <x:v>Optional structures can express calibration coefficients, response curves and contextual channel properties. Supports narrow selective descriptions where provider data exist, not a mandatory all-TEDS profile. Transfer Function label and some mandatory-status descriptions require the licensed specification to resolve. A future selected IEEE transducer semantic mapping to SensorML/SWE would be a new OGC binding; full IEEE conformance claims need authorized IEEE/ISO text and native service obligations.</x:v>
      </x:c>
      <x:c r="G84" s="317" t="str">
        <x:v>https://iml.ubi.pt/playground/docs/ieee1451/teds/optional-teds/</x:v>
      </x:c>
      <x:c r="H84" s="317" t="str">
        <x:v>Source-bounded comparison; no executed cross-vendor integration or profile acceptance</x:v>
      </x:c>
    </x:row>
    <x:row r="85" ht="114" customHeight="1">
      <x:c r="A85" s="316" t="str">
        <x:v>S80</x:v>
      </x:c>
      <x:c r="B85" s="317" t="str">
        <x:v>IEEE 1451 Playground PHY TEDS</x:v>
      </x:c>
      <x:c r="C85" s="317" t="str">
        <x:v>IEEE 1451 Playground publishes IEEE 1451 Playground PHY TEDS for its own intended technical/research community; original scope is IEEE smart transducer / TEDS.</x:v>
      </x:c>
      <x:c r="D85" s="317" t="str">
        <x:v>Candidate transducer-domain semantics; normative clause access pending</x:v>
      </x:c>
      <x:c r="E85" s="317" t="str">
        <x:v>Public page visibly cites a family-specific 1451.5-2007 clause</x:v>
      </x:c>
      <x:c r="F85" s="317" t="str">
        <x:v>Radio/physical link, security and battery-supply characteristics are present as optional integration context. Low-priority communications comparator, not a transducer-channel core semantic model. Do not claim PHY TEDS is universally mandatory in IEEE 1451.0-2024 based on a tutorial page. A future selected IEEE transducer semantic mapping to SensorML/SWE would be a new OGC binding; full IEEE conformance claims need authorized IEEE/ISO text and native service obligations.</x:v>
      </x:c>
      <x:c r="G85" s="317" t="str">
        <x:v>https://iml.ubi.pt/playground/docs/ieee1451/teds/phy-teds/</x:v>
      </x:c>
      <x:c r="H85" s="317" t="str">
        <x:v>Source-bounded comparison; no executed cross-vendor integration or profile acceptance</x:v>
      </x:c>
    </x:row>
    <x:row r="86" ht="114" customHeight="1">
      <x:c r="A86" s="316" t="str">
        <x:v>S81</x:v>
      </x:c>
      <x:c r="B86" s="317" t="str">
        <x:v>NIST announcement of IEEE 1451.0-2024</x:v>
      </x:c>
      <x:c r="C86" s="317" t="str">
        <x:v>NIST publishes NIST announcement of IEEE 1451.0-2024 for its own intended technical/research community; original scope is IEEE smart transducer / TEDS.</x:v>
      </x:c>
      <x:c r="D86" s="317" t="str">
        <x:v>Candidate transducer-domain semantics; normative clause access pending</x:v>
      </x:c>
      <x:c r="E86" s="317" t="str">
        <x:v>First-party NIST publication reviewed for scope, leadership and edition significance</x:v>
      </x:c>
      <x:c r="F86" s="317" t="str">
        <x:v>Describes a substantial revision led by NIST experts in transducer interoperability. Supports why current edition merits priority technical attention beyond older DISR-listed lineages. Public announcement does not reproduce a 400-page standard or establish field-level normative duties. A future selected IEEE transducer semantic mapping to SensorML/SWE would be a new OGC binding; full IEEE conformance claims need authorized IEEE/ISO text and native service obligations.</x:v>
      </x:c>
      <x:c r="G86" s="317" t="str">
        <x:v>https://www.nist.gov/news-events/news/2024/07/ieee-14510-2024-standard-published-under-leadership-nist-researchers</x:v>
      </x:c>
      <x:c r="H86" s="317" t="str">
        <x:v>Source-bounded comparison; no executed cross-vendor integration or profile acceptance</x:v>
      </x:c>
    </x:row>
    <x:row r="87" ht="114" customHeight="1">
      <x:c r="A87" s="316" t="str">
        <x:v>S82</x:v>
      </x:c>
      <x:c r="B87" s="317" t="str">
        <x:v>NIST announcement of IEEE 1451 Playground</x:v>
      </x:c>
      <x:c r="C87" s="317" t="str">
        <x:v>NIST publishes NIST announcement of IEEE 1451 Playground for its own intended technical/research community; original scope is IEEE smart transducer / TEDS.</x:v>
      </x:c>
      <x:c r="D87" s="317" t="str">
        <x:v>Candidate transducer-domain semantics; normative clause access pending</x:v>
      </x:c>
      <x:c r="E87" s="317" t="str">
        <x:v>First-party NIST publication explaining Playground and intended validation role</x:v>
      </x:c>
      <x:c r="F87" s="317" t="str">
        <x:v>Documents that a contemporary educational/validation tool exists around the new IEEE 1451 standard. Gives public-source engineering credibility to reconstructed field lists without granting normative authority to them. It does not verify mandatory versus optional requirements hidden in the licensed standard. A future selected IEEE transducer semantic mapping to SensorML/SWE would be a new OGC binding; full IEEE conformance claims need authorized IEEE/ISO text and native service obligations.</x:v>
      </x:c>
      <x:c r="G87" s="317" t="str">
        <x:v>https://www.nist.gov/news-events/news/2024/12/nist-and-university-researchers-present-online-tool-support-ieee-standards</x:v>
      </x:c>
      <x:c r="H87" s="317" t="str">
        <x:v>Source-bounded comparison; no executed cross-vendor integration or profile acceptance</x:v>
      </x:c>
    </x:row>
    <x:row r="88" ht="114" customHeight="1">
      <x:c r="A88" s="316" t="str">
        <x:v>S83</x:v>
      </x:c>
      <x:c r="B88" s="317" t="str">
        <x:v>IEEE 1451.0-based WoT ontology paper</x:v>
      </x:c>
      <x:c r="C88" s="317" t="str">
        <x:v>NIST and IEEE research publishes IEEE 1451.0-based WoT ontology paper for its own intended technical/research community; original scope is IEEE smart transducer / TEDS.</x:v>
      </x:c>
      <x:c r="D88" s="317" t="str">
        <x:v>Candidate transducer-domain semantics; normative clause access pending</x:v>
      </x:c>
      <x:c r="E88" s="317" t="str">
        <x:v>Current technical paper directly assessed in IEEE public-source workstream</x:v>
      </x:c>
      <x:c r="F88" s="317" t="str">
        <x:v>Projects IEEE TEDS and service semantics into a JSON-LD Web of Things semantic description. Strong modern precedent for describing IEEE-originated concepts in another Web information model. The result is not a published IEEE-to-SensorML or IEEE-to-CSAPI profile, nor IEEE implementation by MERLIN. A future selected IEEE transducer semantic mapping to SensorML/SWE would be a new OGC binding; full IEEE conformance claims need authorized IEEE/ISO text and native service obligations.</x:v>
      </x:c>
      <x:c r="G88" s="317" t="str">
        <x:v>https://www.nist.gov/publications/ieee-14510-based-web-thing-wot-ontology</x:v>
      </x:c>
      <x:c r="H88" s="317" t="str">
        <x:v>Source-bounded comparison; no executed cross-vendor integration or profile acceptance</x:v>
      </x:c>
    </x:row>
    <x:row r="89" ht="114" customHeight="1">
      <x:c r="A89" s="316" t="str">
        <x:v>S84</x:v>
      </x:c>
      <x:c r="B89" s="317" t="str">
        <x:v>A Unifying Standard for Interfacing Transducers to Networks</x:v>
      </x:c>
      <x:c r="C89" s="317" t="str">
        <x:v>NIST and IEEE research publishes A Unifying Standard for Interfacing Transducers to Networks for its own intended technical/research community; original scope is IEEE smart transducer / TEDS.</x:v>
      </x:c>
      <x:c r="D89" s="317" t="str">
        <x:v>Candidate transducer-domain semantics; normative clause access pending</x:v>
      </x:c>
      <x:c r="E89" s="317" t="str">
        <x:v>NIST engineering literature assessed for historical 1451.0 design intent</x:v>
      </x:c>
      <x:c r="F89" s="317" t="str">
        <x:v>TIM/NCAP boundary, channel TEDS content, range, units, timing and acquisition constraints are historically explained. Useful continuity and intent record between early TEDS forms and 2024 public reconstruction. Historical terminology and optionality must not be presented as exact current 2024 normative clauses. A future selected IEEE transducer semantic mapping to SensorML/SWE would be a new OGC binding; full IEEE conformance claims need authorized IEEE/ISO text and native service obligations.</x:v>
      </x:c>
      <x:c r="G89" s="317" t="str">
        <x:v>https://www.nist.gov/publications/unifying-standard-interfacing-transducers-networks-ieee-14510</x:v>
      </x:c>
      <x:c r="H89" s="317" t="str">
        <x:v>Source-bounded comparison; no executed cross-vendor integration or profile acceptance</x:v>
      </x:c>
    </x:row>
    <x:row r="90" ht="114" customHeight="1">
      <x:c r="A90" s="316" t="str">
        <x:v>S85</x:v>
      </x:c>
      <x:c r="B90" s="317" t="str">
        <x:v>ISA White Paper 6.0</x:v>
      </x:c>
      <x:c r="C90" s="317" t="str">
        <x:v>U.S. Army ISA publishes ISA White Paper 6.0 for its own intended technical/research community; original scope is ISA information model, architecture and ecosystem.</x:v>
      </x:c>
      <x:c r="D90" s="317" t="str">
        <x:v>Independent ISA comparison; selected semantics only, no native runtime requirement</x:v>
      </x:c>
      <x:c r="E90" s="317" t="str">
        <x:v>Full user-supplied PDF read in ISA Phase 1/2; governance and design sections</x:v>
      </x:c>
      <x:c r="F90" s="317" t="str">
        <x:v>Describes Army sensor-network interoperability goals, extension process and accepted/nominated/custom additions. Strong governance precedent for differentiating MERLIN source provenance from acceptance/maturity status. Informative architecture document does not itself define OGC binding rules or prove ISA development lacked prior-art study. The target here is not an ISA runtime. Native ISA component/controller/network conformance would require the exact 6.0 document-set obligations, not a sensor property crosswalk.</x:v>
      </x:c>
      <x:c r="G90" s="317" t="str">
        <x:v>local:ISA_White_Paper-6.0r2.pdf</x:v>
      </x:c>
      <x:c r="H90" s="317" t="str">
        <x:v>Source-bounded comparison; no executed cross-vendor integration or profile acceptance</x:v>
      </x:c>
    </x:row>
    <x:row r="91" ht="127" customHeight="1">
      <x:c r="A91" s="316" t="str">
        <x:v>S86</x:v>
      </x:c>
      <x:c r="B91" s="317" t="str">
        <x:v>ISA Software Design Document 6.0</x:v>
      </x:c>
      <x:c r="C91" s="317" t="str">
        <x:v>U.S. Army ISA publishes ISA Software Design Document 6.0 for its own intended technical/research community; original scope is ISA information model, architecture and ecosystem.</x:v>
      </x:c>
      <x:c r="D91" s="317" t="str">
        <x:v>Independent ISA comparison; selected semantics only, no native runtime requirement</x:v>
      </x:c>
      <x:c r="E91" s="317" t="str">
        <x:v>Full user-supplied PDF inspected, esp. §4.2.2 composition</x:v>
      </x:c>
      <x:c r="F91" s="317" t="str">
        <x:v>Composition Interface Components, virtual members, visible/translucent/opaque exposure and task mediation are described. Informs potential adapter/representation provenance distinct from physical composition and communications access. ISA composition requires its own native runtime; copying visibility labels into SensorML would be an authored adaptation. The target here is not an ISA runtime. Native ISA component/controller/network conformance would require the exact 6.0 document-set obligations, not a sensor property crosswalk.</x:v>
      </x:c>
      <x:c r="G91" s="317" t="str">
        <x:v>local:ISA_Software_Design_Document-6.0r5.pdf</x:v>
      </x:c>
      <x:c r="H91" s="317" t="str">
        <x:v>Source-bounded comparison; no executed cross-vendor integration or profile acceptance</x:v>
      </x:c>
    </x:row>
    <x:row r="92" ht="114" customHeight="1">
      <x:c r="A92" s="316" t="str">
        <x:v>S87</x:v>
      </x:c>
      <x:c r="B92" s="317" t="str">
        <x:v>ISA Data Model Specification 6.0</x:v>
      </x:c>
      <x:c r="C92" s="317" t="str">
        <x:v>U.S. Army ISA publishes ISA Data Model Specification 6.0 for its own intended technical/research community; original scope is ISA information model, architecture and ecosystem.</x:v>
      </x:c>
      <x:c r="D92" s="317" t="str">
        <x:v>Independent ISA comparison; selected semantics only, no native runtime requirement</x:v>
      </x:c>
      <x:c r="E92" s="317" t="str">
        <x:v>Full PDF assessed in Phase 1/2, including CCD, Config/Status, commands, observables, resource descriptor</x:v>
      </x:c>
      <x:c r="F92" s="317" t="str">
        <x:v>The CCD declares component properties, observables, commands and custom types; command-ready and reporting are separately represented. Useful conceptual check against current R04/R09–R12, not a function-level schema to copy into MERLIN. A conformant ISA implementation needs exact ISA message/codec requirements beyond translating a set of labels. The target here is not an ISA runtime. Native ISA component/controller/network conformance would require the exact 6.0 document-set obligations, not a sensor property crosswalk.</x:v>
      </x:c>
      <x:c r="G92" s="317" t="str">
        <x:v>local:ISA_Data_Model_Specification-6.0r12.pdf</x:v>
      </x:c>
      <x:c r="H92" s="317" t="str">
        <x:v>ISA component/capability semantics inform approved identity/mode mappings; no native ISA runtime. Component Capability Description used as coherence comparator; no copied universal CCD group.</x:v>
      </x:c>
    </x:row>
    <x:row r="93" ht="114" customHeight="1">
      <x:c r="A93" s="316" t="str">
        <x:v>S88</x:v>
      </x:c>
      <x:c r="B93" s="317" t="str">
        <x:v>ISA Component Requirements 6.0</x:v>
      </x:c>
      <x:c r="C93" s="317" t="str">
        <x:v>U.S. Army ISA publishes ISA Component Requirements 6.0 for its own intended technical/research community; original scope is ISA information model, architecture and ecosystem.</x:v>
      </x:c>
      <x:c r="D93" s="317" t="str">
        <x:v>Independent ISA comparison; selected semantics only, no native runtime requirement</x:v>
      </x:c>
      <x:c r="E93" s="317" t="str">
        <x:v>Full PDF checked for mandatory behavior and ready/reporting semantics in Phase 2</x:v>
      </x:c>
      <x:c r="F93" s="317" t="str">
        <x:v>Component registration, state and command behaviors have requirements separate from data-model definitions. Corrects misleading assumption that a command-ready indicator always means immediate execution. Applies only to native ISA component obligations; OGC streams expose different live/state semantics. The target here is not an ISA runtime. Native ISA component/controller/network conformance would require the exact 6.0 document-set obligations, not a sensor property crosswalk.</x:v>
      </x:c>
      <x:c r="G93" s="317" t="str">
        <x:v>local:ISA_Component_Requirements-6.0r4.pdf</x:v>
      </x:c>
      <x:c r="H93" s="317" t="str">
        <x:v>ISA readiness and command distinctions inform approved R12 and mode/product interpretation. CMPT-L-0072: command ready is enabled, not necessarily available; no universal readiness flag added.</x:v>
      </x:c>
    </x:row>
    <x:row r="94" ht="101" customHeight="1">
      <x:c r="A94" s="316" t="str">
        <x:v>S89</x:v>
      </x:c>
      <x:c r="B94" s="317" t="str">
        <x:v>ISA Interface Control Document 6.0</x:v>
      </x:c>
      <x:c r="C94" s="317" t="str">
        <x:v>U.S. Army ISA publishes ISA Interface Control Document 6.0 for its own intended technical/research community; original scope is ISA information model, architecture and ecosystem.</x:v>
      </x:c>
      <x:c r="D94" s="317" t="str">
        <x:v>Independent ISA comparison; selected semantics only, no native runtime requirement</x:v>
      </x:c>
      <x:c r="E94" s="317" t="str">
        <x:v>User-supplied PDF examined for interface and wire-communication obligations</x:v>
      </x:c>
      <x:c r="F94" s="317" t="str">
        <x:v>Defines native ISA interface protocol context around the Data Model Specification and requirements. Provides conformance boundary for any claim of native ISA implementation or bridge. No ISA transport added to MERLIN merely because information semantics are useful. The target here is not an ISA runtime. Native ISA component/controller/network conformance would require the exact 6.0 document-set obligations, not a sensor property crosswalk.</x:v>
      </x:c>
      <x:c r="G94" s="317" t="str">
        <x:v>local:ISA_Interface_Control_Document-6.0r5.pdf</x:v>
      </x:c>
      <x:c r="H94" s="317" t="str">
        <x:v>Source-bounded comparison; no executed cross-vendor integration or profile acceptance</x:v>
      </x:c>
    </x:row>
    <x:row r="95" ht="114" customHeight="1">
      <x:c r="A95" s="316" t="str">
        <x:v>S90</x:v>
      </x:c>
      <x:c r="B95" s="317" t="str">
        <x:v>ISA Data Model Topics 6.0</x:v>
      </x:c>
      <x:c r="C95" s="317" t="str">
        <x:v>U.S. Army ISA publishes ISA Data Model Topics 6.0 for its own intended technical/research community; original scope is ISA information model, architecture and ecosystem.</x:v>
      </x:c>
      <x:c r="D95" s="317" t="str">
        <x:v>Independent ISA comparison; selected semantics only, no native runtime requirement</x:v>
      </x:c>
      <x:c r="E95" s="317" t="str">
        <x:v>Full document reviewed for mutability, event updates and resource descriptors</x:v>
      </x:c>
      <x:c r="F95" s="317" t="str">
        <x:v>Distinguishes informational property assignment from command-based state change; explains append-only event correction/recall/resolve. Concrete conceptual source for profile rules on configuration, action and optional observation lineage. Its concepts do not replace SensorML Settings, CSAPI Commands or the distinct SystemEvent lifecycle resource. The target here is not an ISA runtime. Native ISA component/controller/network conformance would require the exact 6.0 document-set obligations, not a sensor property crosswalk.</x:v>
      </x:c>
      <x:c r="G95" s="317" t="str">
        <x:v>local:ISA_Data_Model_Topics-6.0r2.pdf</x:v>
      </x:c>
      <x:c r="H95" s="317" t="str">
        <x:v>ISA assignment/actuation and correction/recall/resolution/track distinctions reflected in approved guidance. R11 v0.3.5 preserves source semantics; no cross-donor universal lineage binding.</x:v>
      </x:c>
    </x:row>
    <x:row r="96" ht="114" customHeight="1">
      <x:c r="A96" s="316" t="str">
        <x:v>S91</x:v>
      </x:c>
      <x:c r="B96" s="317" t="str">
        <x:v>ISA Controller Requirements 6.0</x:v>
      </x:c>
      <x:c r="C96" s="317" t="str">
        <x:v>U.S. Army ISA publishes ISA Controller Requirements 6.0 for its own intended technical/research community; original scope is ISA information model, architecture and ecosystem.</x:v>
      </x:c>
      <x:c r="D96" s="317" t="str">
        <x:v>Independent ISA comparison; selected semantics only, no native runtime requirement</x:v>
      </x:c>
      <x:c r="E96" s="317" t="str">
        <x:v>Complete PDF supplied and reviewed in Phase 1; not re-audited clause-by-clause in Phase 2</x:v>
      </x:c>
      <x:c r="F96" s="317" t="str">
        <x:v>Controller services, service interface responsibilities and component networking obligations. Relevant boundary condition if comparing a full ISA deployment against CSAPI servers and clients. Informative for architecture comparison; MERLIN neither deploys ISA Controller nor promises its requirements. The target here is not an ISA runtime. Native ISA component/controller/network conformance would require the exact 6.0 document-set obligations, not a sensor property crosswalk.</x:v>
      </x:c>
      <x:c r="G96" s="317" t="str">
        <x:v>local:ISA_Controller_Requirements-6.0r4.pdf</x:v>
      </x:c>
      <x:c r="H96" s="317" t="str">
        <x:v>Source-bounded comparison; no executed cross-vendor integration or profile acceptance</x:v>
      </x:c>
    </x:row>
    <x:row r="97" ht="114" customHeight="1">
      <x:c r="A97" s="316" t="str">
        <x:v>S92</x:v>
      </x:c>
      <x:c r="B97" s="317" t="str">
        <x:v>ISA Introductory Guide 6.0</x:v>
      </x:c>
      <x:c r="C97" s="317" t="str">
        <x:v>U.S. Army ISA publishes ISA Introductory Guide 6.0 for its own intended technical/research community; original scope is ISA information model, architecture and ecosystem.</x:v>
      </x:c>
      <x:c r="D97" s="317" t="str">
        <x:v>Independent ISA comparison; selected semantics only, no native runtime requirement</x:v>
      </x:c>
      <x:c r="E97" s="317" t="str">
        <x:v>Entire guide supplied and reviewed for terminology and introduction</x:v>
      </x:c>
      <x:c r="F97" s="317" t="str">
        <x:v>Summarizes ISA intended users, component architecture and introduction to the document family. Supporting background when reading exact Data Model or software design provisions. Introductory prose does not override the normative requirements or demonstrate production deployment of any named vendor. The target here is not an ISA runtime. Native ISA component/controller/network conformance would require the exact 6.0 document-set obligations, not a sensor property crosswalk.</x:v>
      </x:c>
      <x:c r="G97" s="317" t="str">
        <x:v>local:ISA_Introductory_Guide-6.0r2.pdf</x:v>
      </x:c>
      <x:c r="H97" s="317" t="str">
        <x:v>Source-bounded comparison; no executed cross-vendor integration or profile acceptance</x:v>
      </x:c>
    </x:row>
    <x:row r="98" ht="101" customHeight="1">
      <x:c r="A98" s="316" t="str">
        <x:v>S93</x:v>
      </x:c>
      <x:c r="B98" s="317" t="str">
        <x:v>ISA Data Query Language Users Guide 6.0</x:v>
      </x:c>
      <x:c r="C98" s="317" t="str">
        <x:v>U.S. Army ISA publishes ISA Data Query Language Users Guide 6.0 for its own intended technical/research community; original scope is ISA information model, architecture and ecosystem.</x:v>
      </x:c>
      <x:c r="D98" s="317" t="str">
        <x:v>Independent ISA comparison; selected semantics only, no native runtime requirement</x:v>
      </x:c>
      <x:c r="E98" s="317" t="str">
        <x:v>Full guide supplied; examined primarily for data-discovery/query architecture</x:v>
      </x:c>
      <x:c r="F98" s="317" t="str">
        <x:v>Defines the query-expression interface of native ISA discovery/subscriptions. Useful full-stack comparator to the existing OGC query/collection API. Not selected as an application-facing MERLIN query language and not a standard sensor-domain vocabulary. The target here is not an ISA runtime. Native ISA component/controller/network conformance would require the exact 6.0 document-set obligations, not a sensor property crosswalk.</x:v>
      </x:c>
      <x:c r="G98" s="317" t="str">
        <x:v>local:ISA_Data_Query_Language_Users_Guide-6.0r4.pdf</x:v>
      </x:c>
      <x:c r="H98" s="317" t="str">
        <x:v>Source-bounded comparison; no executed cross-vendor integration or profile acceptance</x:v>
      </x:c>
    </x:row>
    <x:row r="99" ht="101" customHeight="1">
      <x:c r="A99" s="316" t="str">
        <x:v>S94</x:v>
      </x:c>
      <x:c r="B99" s="317" t="str">
        <x:v>ISA IPL3 Usage Guide 6.0</x:v>
      </x:c>
      <x:c r="C99" s="317" t="str">
        <x:v>U.S. Army ISA publishes ISA IPL3 Usage Guide 6.0 for its own intended technical/research community; original scope is ISA information model, architecture and ecosystem.</x:v>
      </x:c>
      <x:c r="D99" s="317" t="str">
        <x:v>Independent ISA comparison; selected semantics only, no native runtime requirement</x:v>
      </x:c>
      <x:c r="E99" s="317" t="str">
        <x:v>Complete guide supplied and included in assessment; targeted contextual review</x:v>
      </x:c>
      <x:c r="F99" s="317" t="str">
        <x:v>Describes ISA implementation/interface-layer use in its native ecosystem. Retained to document native compliance and interoperability obligations, not selected MERLIN model content. This study did not claim clause-level adoption or execution testing of native IPL3 obligations. The target here is not an ISA runtime. Native ISA component/controller/network conformance would require the exact 6.0 document-set obligations, not a sensor property crosswalk.</x:v>
      </x:c>
      <x:c r="G99" s="317" t="str">
        <x:v>local:ISA_IPL3_Usage_Guide-6.0r4.pdf</x:v>
      </x:c>
      <x:c r="H99" s="317" t="str">
        <x:v>Source-bounded comparison; no executed cross-vendor integration or profile acceptance</x:v>
      </x:c>
    </x:row>
    <x:row r="100" ht="101" customHeight="1">
      <x:c r="A100" s="316" t="str">
        <x:v>S95</x:v>
      </x:c>
      <x:c r="B100" s="317" t="str">
        <x:v>ISA Certificate Usage Guide 6.0</x:v>
      </x:c>
      <x:c r="C100" s="317" t="str">
        <x:v>U.S. Army ISA publishes ISA Certificate Usage Guide 6.0 for its own intended technical/research community; original scope is ISA information model, architecture and ecosystem.</x:v>
      </x:c>
      <x:c r="D100" s="317" t="str">
        <x:v>Independent ISA comparison; selected semantics only, no native runtime requirement</x:v>
      </x:c>
      <x:c r="E100" s="317" t="str">
        <x:v>Complete PDF supplied; reviewed for architecture/security context</x:v>
      </x:c>
      <x:c r="F100" s="317" t="str">
        <x:v>Certificate usage identifies security operations expected in native ISA environments. Contextual source for a competing full stack's implementation cost and security boundary. Does not establish sensor-information semantics or a MERLIN authentication requirement. The target here is not an ISA runtime. Native ISA component/controller/network conformance would require the exact 6.0 document-set obligations, not a sensor property crosswalk.</x:v>
      </x:c>
      <x:c r="G100" s="317" t="str">
        <x:v>local:ISA_Certificate_Usage_Guide-6.0r2.pdf</x:v>
      </x:c>
      <x:c r="H100" s="317" t="str">
        <x:v>Source-bounded comparison; no executed cross-vendor integration or profile acceptance</x:v>
      </x:c>
    </x:row>
    <x:row r="101" ht="101" customHeight="1">
      <x:c r="A101" s="316" t="str">
        <x:v>S96</x:v>
      </x:c>
      <x:c r="B101" s="317" t="str">
        <x:v>On the Difference between Information Models and Data Models</x:v>
      </x:c>
      <x:c r="C101" s="317" t="str">
        <x:v>IETF publishes On the Difference between Information Models and Data Models for its own intended technical/research community; original scope is Research methods and implementation boundaries.</x:v>
      </x:c>
      <x:c r="D101" s="317" t="str">
        <x:v>Complementary research and design precedent</x:v>
      </x:c>
      <x:c r="E101" s="317" t="str">
        <x:v>Published Informational RFC §§2–3 reviewed during ISA Phase 2</x:v>
      </x:c>
      <x:c r="F101" s="317" t="str">
        <x:v>Protocol-neutral information models can inform more than one data representation and need not imply native runtime. Methodological basis for the project's layered domain-information-model-to-OGC-profile approach. Citing RFC 3444 does not turn borrowed ISA/EMAN terminology into native implementation of either stack. Selected semantic/reference content, comparative technical evidence, or informative precedent; no additional protocol stack follows by citation.</x:v>
      </x:c>
      <x:c r="G101" s="317" t="str">
        <x:v>https://www.rfc-editor.org/rfc/rfc3444.html</x:v>
      </x:c>
      <x:c r="H101" s="317" t="str">
        <x:v>Source-bounded comparison; no executed cross-vendor integration or profile acceptance</x:v>
      </x:c>
    </x:row>
    <x:row r="102" ht="101" customHeight="1">
      <x:c r="A102" s="316" t="str">
        <x:v>S97</x:v>
      </x:c>
      <x:c r="B102" s="317" t="str">
        <x:v>OGC Observations Measurements and Samples 3.0</x:v>
      </x:c>
      <x:c r="C102" s="317" t="str">
        <x:v>OGC publishes OGC Observations Measurements and Samples 3.0 for its own intended technical/research community; original scope is Foundational observation and semantic models.</x:v>
      </x:c>
      <x:c r="D102" s="317" t="str">
        <x:v>OMS-informed semantic use in current OGC profile; no new native OMS target.</x:v>
      </x:c>
      <x:c r="E102" s="317" t="str">
        <x:v>Complete approved OGC 20-082r4 v3.0.0, 198-page supplied PDF; §§4–13 and Annex A inspected in 15 Oct OMS study.</x:v>
      </x:c>
      <x:c r="F102" s="317" t="str">
        <x:v>/req/obs-basic/ObservingCapability; imports /req/obs-basic/ObservationCharacteristics and inherited abstract-core/NamedValue; ISO 19103/19108 dependencies; Annex A.3.10 documentation inspection. These are conditional native OMS model claims, not automatic CSAPI JSON conformance. Approved semantic refinements reflected in v0.3.5; CSAPI multiple-property packaging is not blanket OMS Observation equivalence.</x:v>
      </x:c>
      <x:c r="G102" s="317" t="str">
        <x:v>https://docs.ogc.org/as/20-082r4/20-082r4.html</x:v>
      </x:c>
      <x:c r="H102" s="317" t="str">
        <x:v>Completed normative source analysis; no executed interoperability test.</x:v>
      </x:c>
    </x:row>
    <x:row r="103" ht="101" customHeight="1">
      <x:c r="A103" s="316" t="str">
        <x:v>S98</x:v>
      </x:c>
      <x:c r="B103" s="317" t="str">
        <x:v>Observation and Sampling of a Smiley Face</x:v>
      </x:c>
      <x:c r="C103" s="317" t="str">
        <x:v>OGC publishes Observation and Sampling of a Smiley Face for its own intended technical/research community; original scope is Foundational observation and semantic models.</x:v>
      </x:c>
      <x:c r="D103" s="317" t="str">
        <x:v>Semantic clarification / targeted mapping source, no new ontology runtime</x:v>
      </x:c>
      <x:c r="E103" s="317" t="str">
        <x:v>Complete user-supplied 26-page OGC technical paper read, pp.8–22 especially</x:v>
      </x:c>
      <x:c r="F103" s="317" t="str">
        <x:v>Visual UML examples distinguish Observer, Host, Deployment, Procedure, FoI types and ObservingCapabilities. Valuable informative explanation of what an OMS model might imply for R10–R11 and capabilities. Explicitly not an OGC Standard and cannot support normative conformance claims by itself. Optional linked meaning or relationship clarification; mere use of a class/URI is neither complete OWL implementation nor a new OMS/CSAPI conformance class.</x:v>
      </x:c>
      <x:c r="G103" s="317" t="str">
        <x:v>local:25-038.pdf</x:v>
      </x:c>
      <x:c r="H103" s="317" t="str">
        <x:v>Source-bounded comparison; no executed cross-vendor integration or profile acceptance</x:v>
      </x:c>
    </x:row>
    <x:row r="104" ht="114" customHeight="1">
      <x:c r="A104" s="316" t="str">
        <x:v>S99</x:v>
      </x:c>
      <x:c r="B104" s="317" t="str">
        <x:v>SOSA/SSN 2026 Working Draft</x:v>
      </x:c>
      <x:c r="C104" s="317" t="str">
        <x:v>W3C and OGC publishes SOSA/SSN 2026 Working Draft for its own intended technical/research community; original scope is Foundational observation and semantic models.</x:v>
      </x:c>
      <x:c r="D104" s="317" t="str">
        <x:v>Semantic clarification / targeted mapping source, no new ontology runtime</x:v>
      </x:c>
      <x:c r="E104" s="317" t="str">
        <x:v>Official Working Draft §§5.3–5.6, 6.1, 7.3.1 and non-normative appendix D inspected</x:v>
      </x:c>
      <x:c r="F104" s="317" t="str">
        <x:v>Revised sosa:System roles and ontology relationships, OMS extension and explicit conceptual CSAPI alignment. Best contemporary comparator for exact relationship meaning, without identifying ontology predicates as CSAPI fields. Draft alignment and system-capabilities examples are explicitly non-normative; do not assert OWL class equivalence. Optional linked meaning or relationship clarification; mere use of a class/URI is neither complete OWL implementation nor a new OMS/CSAPI conformance class.</x:v>
      </x:c>
      <x:c r="G104" s="317" t="str">
        <x:v>https://www.w3.org/TR/2026/WD-vocab-ssn-2023-20261012/</x:v>
      </x:c>
      <x:c r="H104" s="317" t="str">
        <x:v>Existing pinned SSN Working Draft retained; lineage/alignment evidence added without duplicate S ID. Add §7.1–7.3 and Annex E lineage scope. Ontology alignment axioms are distinct from non-OWL CSAPI correspondence tables; draft remains non-final.</x:v>
      </x:c>
    </x:row>
    <x:row r="105" ht="114" customHeight="1">
      <x:c r="A105" s="316" t="str">
        <x:v>S100</x:v>
      </x:c>
      <x:c r="B105" s="317" t="str">
        <x:v>I-ADOPT WG Outputs and Recommendations</x:v>
      </x:c>
      <x:c r="C105" s="317" t="str">
        <x:v>Research Data Alliance publishes I-ADOPT WG Outputs and Recommendations for its own intended technical/research community; original scope is Foundational observation and semantic models.</x:v>
      </x:c>
      <x:c r="D105" s="317" t="str">
        <x:v>Semantic clarification / targeted mapping source, no new ontology runtime</x:v>
      </x:c>
      <x:c r="E105" s="317" t="str">
        <x:v>DOI/catalogue and bibliography verified in foundational review; full report not comprehensively inspected</x:v>
      </x:c>
      <x:c r="F105" s="317" t="str">
        <x:v>Standardized compositional variable/observed-property descriptions support cross-vocabulary interoperability. Relevant community precedent for disambiguating measurement meaning, especially matrix, statistic and object of interest. Endorsed recommendation is not an OGC standard, required RDF runtime or complete normative mapping. Optional linked meaning or relationship clarification; mere use of a class/URI is neither complete OWL implementation nor a new OMS/CSAPI conformance class.</x:v>
      </x:c>
      <x:c r="G105" s="317" t="str">
        <x:v>https://doi.org/10.15497/RDA00071</x:v>
      </x:c>
      <x:c r="H105" s="317" t="str">
        <x:v>Source-bounded comparison; no executed cross-vendor integration or profile acceptance</x:v>
      </x:c>
    </x:row>
    <x:row r="106" ht="114" customHeight="1">
      <x:c r="A106" s="316" t="str">
        <x:v>S101</x:v>
      </x:c>
      <x:c r="B106" s="317" t="str">
        <x:v>I-ADOPT Framework Ontology 1.1.0</x:v>
      </x:c>
      <x:c r="C106" s="317" t="str">
        <x:v>I-ADOPT publishes I-ADOPT Framework Ontology 1.1.0 for its own intended technical/research community; original scope is Foundational observation and semantic models.</x:v>
      </x:c>
      <x:c r="D106" s="317" t="str">
        <x:v>Semantic clarification / targeted mapping source, no new ontology runtime</x:v>
      </x:c>
      <x:c r="E106" s="317" t="str">
        <x:v>Published versioned HTML classes and properties inspected in foundational work</x:v>
      </x:c>
      <x:c r="F106" s="317" t="str">
        <x:v>Variable, Property, Entity, ObjectOfInterest, ContextObject, matrix, modifier and statistical specialization form a compositional variable model. Candidate for curated definition of a sufficiently ambiguous observed variable, not a new managed sensing-system class. Ontology's System means a compound entity and must not be equated with CSAPI System. Optional linked meaning or relationship clarification; mere use of a class/URI is neither complete OWL implementation nor a new OMS/CSAPI conformance class.</x:v>
      </x:c>
      <x:c r="G106" s="317" t="str">
        <x:v>https://i-adopt.github.io/ontology/</x:v>
      </x:c>
      <x:c r="H106" s="317" t="str">
        <x:v>Source-bounded comparison; no executed cross-vendor integration or profile acceptance</x:v>
      </x:c>
    </x:row>
    <x:row r="107" ht="101" customHeight="1">
      <x:c r="A107" s="316" t="str">
        <x:v>S102</x:v>
      </x:c>
      <x:c r="B107" s="317" t="str">
        <x:v>I-ADOPT 1.1.0 pinned Turtle ontology</x:v>
      </x:c>
      <x:c r="C107" s="317" t="str">
        <x:v>I-ADOPT publishes I-ADOPT 1.1.0 pinned Turtle ontology for its own intended technical/research community; original scope is Foundational observation and semantic models.</x:v>
      </x:c>
      <x:c r="D107" s="317" t="str">
        <x:v>Semantic clarification / targeted mapping source, no new ontology runtime</x:v>
      </x:c>
      <x:c r="E107" s="317" t="str">
        <x:v>Exact versioned Turtle source inspected from repository snapshot, not executed as full reasoner</x:v>
      </x:c>
      <x:c r="F107" s="317" t="str">
        <x:v>Actual OWL/RDF classes, term IRIs and domain/range statements support interpreting the HTML specification correctly. Prevents unversioned ontology drift in future profile definition discussions. Do not copy the entire graph into MERLIN or claim SHACL validation by selecting a few term URIs. Optional linked meaning or relationship clarification; mere use of a class/URI is neither complete OWL implementation nor a new OMS/CSAPI conformance class.</x:v>
      </x:c>
      <x:c r="G107" s="317" t="str">
        <x:v>https://github.com/i-adopt/ontology/blob/604a560a5826d4c9102060a85eca00b15dc30ef9/ontology/i-adopt_1_1_0.ttl</x:v>
      </x:c>
      <x:c r="H107" s="317" t="str">
        <x:v>Source-bounded comparison; no executed cross-vendor integration or profile acceptance</x:v>
      </x:c>
    </x:row>
    <x:row r="108" ht="114" customHeight="1">
      <x:c r="A108" s="316" t="str">
        <x:v>S103</x:v>
      </x:c>
      <x:c r="B108" s="317" t="str">
        <x:v>I-ADOPT Variable Design Patterns</x:v>
      </x:c>
      <x:c r="C108" s="317" t="str">
        <x:v>I-ADOPT publishes I-ADOPT Variable Design Patterns for its own intended technical/research community; original scope is Foundational observation and semantic models.</x:v>
      </x:c>
      <x:c r="D108" s="317" t="str">
        <x:v>Semantic clarification / targeted mapping source, no new ontology runtime</x:v>
      </x:c>
      <x:c r="E108" s="317" t="str">
        <x:v>README, quantitative patterns and architecture-decision records identified and selectively reviewed</x:v>
      </x:c>
      <x:c r="F108" s="317" t="str">
        <x:v>Patterns demonstrate how abstract variable components can combine for concentration or complex-property descriptions. Optional practical authoring reference for future curated observed-property definition catalogue. Working community examples may evolve; they are not inherently normative or required MERLIN schemas. Optional linked meaning or relationship clarification; mere use of a class/URI is neither complete OWL implementation nor a new OMS/CSAPI conformance class.</x:v>
      </x:c>
      <x:c r="G108" s="317" t="str">
        <x:v>https://github.com/i-adopt/patterns</x:v>
      </x:c>
      <x:c r="H108" s="317" t="str">
        <x:v>Source-bounded comparison; no executed cross-vendor integration or profile acceptance</x:v>
      </x:c>
    </x:row>
    <x:row r="109" ht="114" customHeight="1">
      <x:c r="A109" s="316" t="str">
        <x:v>S104</x:v>
      </x:c>
      <x:c r="B109" s="317" t="str">
        <x:v>QUDT Catalog 3.5.2</x:v>
      </x:c>
      <x:c r="C109" s="317" t="str">
        <x:v>QUDT publishes QUDT Catalog 3.5.2 for its own intended technical/research community; original scope is Quantity and unit vocabularies.</x:v>
      </x:c>
      <x:c r="D109" s="317" t="str">
        <x:v>General quantity-kind vocabulary; subject-qualified definitions remain authored</x:v>
      </x:c>
      <x:c r="E109" s="317" t="str">
        <x:v>Current official catalog plus selected quantity-kind term inspected</x:v>
      </x:c>
      <x:c r="F109" s="317" t="str">
        <x:v>Quantity kind definitions and unit identifiers add reusable vocabulary beyond a textual SWE label. General meanings like Voltage may be referenced while the profile owns qualified battery-terminal or measurement-point semantics. QUDT vocabulary reuse does not require a full QUDT reasoner or prove that equivalent-looking definitions match. Use explicit quantity-kind IRIs within SWE data definitions when justified; retain measured subject, units, matrix and property qualifications.</x:v>
      </x:c>
      <x:c r="G109" s="317" t="str">
        <x:v>https://www.qudt.org/catalog/qudt-catalog.html</x:v>
      </x:c>
      <x:c r="H109" s="317" t="str">
        <x:v>Source-bounded comparison; no executed cross-vendor integration or profile acceptance</x:v>
      </x:c>
    </x:row>
    <x:row r="110" ht="101" customHeight="1">
      <x:c r="A110" s="316" t="str">
        <x:v>S105</x:v>
      </x:c>
      <x:c r="B110" s="317" t="str">
        <x:v>SWEET ontology repository</x:v>
      </x:c>
      <x:c r="C110" s="317" t="str">
        <x:v>ESIP publishes SWEET ontology repository for its own intended technical/research community; original scope is Environmental domain term vocabularies.</x:v>
      </x:c>
      <x:c r="D110" s="317" t="str">
        <x:v>Optional exact term donor, not mandatory vocabulary or full ontology import</x:v>
      </x:c>
      <x:c r="E110" s="317" t="str">
        <x:v>Official public ontology repository and selected module hierarchy inspected</x:v>
      </x:c>
      <x:c r="F110" s="317" t="str">
        <x:v>Modular earth, meteorological, ocean, seismic and instrument vocabularies provide more precise domain terms. Candidate selective vocabulary support for future environmental or geophysical sensing specializations. Repository master is mutable and imports can be extensive; do not indiscriminately copy all modules into MERLIN. Use a pinned term when justified by an earth/environmental sensing family; no full SWEET import or reasoning capability selected.</x:v>
      </x:c>
      <x:c r="G110" s="317" t="str">
        <x:v>https://github.com/ESIPFed/sweet</x:v>
      </x:c>
      <x:c r="H110" s="317" t="str">
        <x:v>Source-bounded comparison; no executed cross-vendor integration or profile acceptance</x:v>
      </x:c>
    </x:row>
    <x:row r="111" ht="101" customHeight="1">
      <x:c r="A111" s="316" t="str">
        <x:v>S106</x:v>
      </x:c>
      <x:c r="B111" s="317" t="str">
        <x:v>SWEET material instrument ontology module</x:v>
      </x:c>
      <x:c r="C111" s="317" t="str">
        <x:v>ESIP publishes SWEET material instrument ontology module for its own intended technical/research community; original scope is Environmental domain term vocabularies.</x:v>
      </x:c>
      <x:c r="D111" s="317" t="str">
        <x:v>Optional exact term donor, not mandatory vocabulary or full ontology import</x:v>
      </x:c>
      <x:c r="E111" s="317" t="str">
        <x:v>Particular Turtle module inspected from ESIP repository, not all inter-module imports or axioms</x:v>
      </x:c>
      <x:c r="F111" s="317" t="str">
        <x:v>Contains environmental/instrument vocabulary with potential applicability to scientific sensing descriptions. Useful optional controlled terms for specific earth-science devices, not whole-system operational model. Pin adopted term IRIs and source revision before making them a dependency. Use a pinned term when justified by an earth/environmental sensing family; no full SWEET import or reasoning capability selected.</x:v>
      </x:c>
      <x:c r="G111" s="317" t="str">
        <x:v>https://github.com/ESIPFed/sweet/blob/master/src/matrInstrument.ttl</x:v>
      </x:c>
      <x:c r="H111" s="317" t="str">
        <x:v>Source-bounded comparison; no executed cross-vendor integration or profile acceptance</x:v>
      </x:c>
    </x:row>
    <x:row r="112" ht="101" customHeight="1">
      <x:c r="A112" s="316" t="str">
        <x:v>S107</x:v>
      </x:c>
      <x:c r="B112" s="317" t="str">
        <x:v>I-ADOPT OMS extension roadmap</x:v>
      </x:c>
      <x:c r="C112" s="317" t="str">
        <x:v>I-ADOPT publishes I-ADOPT OMS extension roadmap for its own intended technical/research community; original scope is Foundational observation and semantic models.</x:v>
      </x:c>
      <x:c r="D112" s="317" t="str">
        <x:v>Research lead only; defer pending accessible, released specification</x:v>
      </x:c>
      <x:c r="E112" s="317" t="str">
        <x:v>URL attempted in foundational research but content inaccessible; secondary project report only</x:v>
      </x:c>
      <x:c r="F112" s="317" t="str">
        <x:v>Proposed OMS/I-ADOPT linkage may eventually standardize a richer observedProperty description. Retain as a research lead if OMS profiling later requires a new observed-property mechanism. No published approved extension or directly inspected normative text has been established. Optional linked meaning or relationship clarification; mere use of a class/URI is neither complete OWL implementation nor a new OMS/CSAPI conformance class.</x:v>
      </x:c>
      <x:c r="G112" s="317" t="str">
        <x:v>https://i-adopt.github.io/overview.html</x:v>
      </x:c>
      <x:c r="H112" s="317" t="str">
        <x:v>Source-bounded comparison; no executed cross-vendor integration or profile acceptance</x:v>
      </x:c>
    </x:row>
    <x:row r="113" ht="114" customHeight="1">
      <x:c r="A113" s="316" t="str">
        <x:v>S108</x:v>
      </x:c>
      <x:c r="B113" s="317" t="str">
        <x:v>I-ADOPT patterns playground</x:v>
      </x:c>
      <x:c r="C113" s="317" t="str">
        <x:v>I-ADOPT publishes I-ADOPT patterns playground for its own intended technical/research community; original scope is Foundational observation and semantic models.</x:v>
      </x:c>
      <x:c r="D113" s="317" t="str">
        <x:v>Semantic clarification / targeted mapping source, no new ontology runtime</x:v>
      </x:c>
      <x:c r="E113" s="317" t="str">
        <x:v>Repository README and directory organization verified as current community experiment</x:v>
      </x:c>
      <x:c r="F113" s="317" t="str">
        <x:v>Provides mapping rules, decision trees and worked patterns for consistent compositional variable descriptions. Potential implementation-practice resource when profile term catalogue needs operator-readable variable definitions. A contributor's working repository is not an approved RDA recommendation or a standardized CSAPI mapping. Optional linked meaning or relationship clarification; mere use of a class/URI is neither complete OWL implementation nor a new OMS/CSAPI conformance class.</x:v>
      </x:c>
      <x:c r="G113" s="317" t="str">
        <x:v>https://github.com/mabablue/I-ADOPT-patterns-playground</x:v>
      </x:c>
      <x:c r="H113" s="317" t="str">
        <x:v>Source-bounded comparison; no executed cross-vendor integration or profile acceptance</x:v>
      </x:c>
    </x:row>
    <x:row r="114" ht="114" customHeight="1">
      <x:c r="A114" s="316" t="str">
        <x:v>S109</x:v>
      </x:c>
      <x:c r="B114" s="317" t="str">
        <x:v>QUDT quantity kind Concentration</x:v>
      </x:c>
      <x:c r="C114" s="317" t="str">
        <x:v>QUDT publishes QUDT quantity kind Concentration for its own intended technical/research community; original scope is Quantity and unit vocabularies.</x:v>
      </x:c>
      <x:c r="D114" s="317" t="str">
        <x:v>General quantity-kind vocabulary; subject-qualified definitions remain authored</x:v>
      </x:c>
      <x:c r="E114" s="317" t="str">
        <x:v>Official term page directly inspected in foundational review; term record edition not silently equated with current v3.5.2 catalog</x:v>
      </x:c>
      <x:c r="F114" s="317" t="str">
        <x:v>General concentration includes mass, amount-of-substance, number or volume subtypes without itself naming the measured substance or sample matrix. Valuable negative and qualified-definition case for I-ADOPT composition and specific observedProperty semantics. Do not use the broad term to assert analyte identity, measurement medium, concentration basis or sampling situation. Use explicit quantity-kind IRIs within SWE data definitions when justified; retain measured subject, units, matrix and property qualifications.</x:v>
      </x:c>
      <x:c r="G114" s="317" t="str">
        <x:v>http://qudt.org/vocab/quantitykind/Concentration</x:v>
      </x:c>
      <x:c r="H114" s="317" t="str">
        <x:v>Source-bounded comparison; no executed cross-vendor integration or profile acceptance</x:v>
      </x:c>
    </x:row>
    <x:row r="115" ht="74" customHeight="1">
      <x:c r="A115" s="304" t="str">
        <x:v>S110</x:v>
      </x:c>
      <x:c r="B115" s="304" t="str">
        <x:v>SAPIENT Network of Autonomous Sensors and Effectors—Interface Control Document—Specification</x:v>
      </x:c>
      <x:c r="C115" s="304" t="str">
        <x:v>British Standards Institution source community; MERLIN integrators/researchers.</x:v>
      </x:c>
      <x:c r="D115" s="304" t="str">
        <x:v>Native sensor/effector/fusion message model and semantic donor.</x:v>
      </x:c>
      <x:c r="E115" s="304" t="str">
        <x:v>§§0–7; especially §§4.10–4.11, 5.5, 6.2–6.5; Tables 13–15, 27, 32, 60, 69, 77, 86–87.</x:v>
      </x:c>
      <x:c r="F115" s="304" t="str">
        <x:v>OGC-facing semantic translation; native SAPIENT participant only if separately selected. BSI v2 §§4–7, exact role and message requirements; reconcile publisher/protobuf discrepancies before native claims.</x:v>
      </x:c>
      <x:c r="G115" s="304" t="str">
        <x:v>https://www.bsigroup.com/siteassets/pdf/en/insights-and-media/insights/brochures/bsi-flex-335.pdf</x:v>
      </x:c>
      <x:c r="H115" s="304" t="str">
        <x:v>SAPIENT v3 not examined; six study variance records retained; no live adapter.</x:v>
      </x:c>
    </x:row>
    <x:row r="116" ht="74" customHeight="1">
      <x:c r="A116" s="304" t="str">
        <x:v>S111</x:v>
      </x:c>
      <x:c r="B116" s="304" t="str">
        <x:v>SAPIENT-Proto-Files: bsi_flex_335_v2_0</x:v>
      </x:c>
      <x:c r="C116" s="304" t="str">
        <x:v>Defence Science and Technology Laboratory source community; MERLIN integrators/researchers.</x:v>
      </x:c>
      <x:c r="D116" s="304" t="str">
        <x:v>Wire declarations and schema discrepancy evidence.</x:v>
      </x:c>
      <x:c r="E116" s="304" t="str">
        <x:v>16 .proto artifacts; registration, detection_report, status_report, task, task_ack, associated_detection, follow and proto_options.</x:v>
      </x:c>
      <x:c r="F116" s="304" t="str">
        <x:v>Optional source parser/translator; no native parser commissioned. Pinned v2 declarations plus BSI message framing/role rules; custom required annotations and table variances.</x:v>
      </x:c>
      <x:c r="G116" s="304" t="str">
        <x:v>https://github.com/dstl/SAPIENT-Proto-Files/tree/244a741c13bcee628f84944aef91e4a66854bd7d/bsi_flex_335_v2_0</x:v>
      </x:c>
      <x:c r="H116" s="304" t="str">
        <x:v>No source execution; publisher/code differences remain unresolved.</x:v>
      </x:c>
    </x:row>
    <x:row r="117" ht="74" customHeight="1">
      <x:c r="A117" s="304" t="str">
        <x:v>S112</x:v>
      </x:c>
      <x:c r="B117" s="304" t="str">
        <x:v>BSI-Flex-335-v2-Test-Harness</x:v>
      </x:c>
      <x:c r="C117" s="304" t="str">
        <x:v>Defence Science and Technology Laboratory source community; MERLIN integrators/researchers.</x:v>
      </x:c>
      <x:c r="D117" s="304" t="str">
        <x:v>Native v2 test-tool evidence.</x:v>
      </x:c>
      <x:c r="E117" s="304" t="str">
        <x:v>README: supported version, environment and known issues.</x:v>
      </x:c>
      <x:c r="F117" s="304" t="str">
        <x:v>Future native SAPIENT test participant, not profile server. Version-two harness prerequisites and selected BSI role requirements.</x:v>
      </x:c>
      <x:c r="G117" s="304" t="str">
        <x:v>https://github.com/dstl/BSI-Flex-335-v2-Test-Harness/tree/6a2999d70d761d224914ddd8fa3f663af5005be0</x:v>
      </x:c>
      <x:c r="H117" s="304" t="str">
        <x:v>Harness availability does not equal certification.</x:v>
      </x:c>
    </x:row>
    <x:row r="118" ht="74" customHeight="1">
      <x:c r="A118" s="304" t="str">
        <x:v>S113</x:v>
      </x:c>
      <x:c r="B118" s="304" t="str">
        <x:v>Apex-SAPIENT-Middleware</x:v>
      </x:c>
      <x:c r="C118" s="304" t="str">
        <x:v>Dstl / Roke source source community; MERLIN integrators/researchers.</x:v>
      </x:c>
      <x:c r="D118" s="304" t="str">
        <x:v>Routing, storage and mediation precedent.</x:v>
      </x:c>
      <x:c r="E118" s="304" t="str">
        <x:v>README; sapient_apex_api/server.py.</x:v>
      </x:c>
      <x:c r="F118" s="304" t="str">
        <x:v>Optional mediation source for an OGC translation; not an adopted native API. Implementation-specific configuration plus applicable native SAPIENT and selected OGC requirements if deployed.</x:v>
      </x:c>
      <x:c r="G118" s="304" t="str">
        <x:v>https://github.com/dstl/Apex-SAPIENT-Middleware/tree/0c8591ae97f2dc336eff299845880d5c73ee75b7</x:v>
      </x:c>
      <x:c r="H118" s="304" t="str">
        <x:v>No evidence of a deployed MERLIN/Apex adapter.</x:v>
      </x:c>
    </x:row>
    <x:row r="119" ht="74" customHeight="1">
      <x:c r="A119" s="304" t="str">
        <x:v>S114</x:v>
      </x:c>
      <x:c r="B119" s="304" t="str">
        <x:v>Technical Standard for SOSA Reference Architecture, Edition 1.1</x:v>
      </x:c>
      <x:c r="C119" s="304" t="str">
        <x:v>The Open Group source community; MERLIN integrators/researchers.</x:v>
      </x:c>
      <x:c r="D119" s="304" t="str">
        <x:v>Modular sensor architecture and adopted source/provider context.</x:v>
      </x:c>
      <x:c r="E119" s="304" t="str">
        <x:v>403-page c239_5.pdf; §§1.2–1.3, 3.2, 6.2.1, 12.11; Appendix B.</x:v>
      </x:c>
      <x:c r="F119" s="304" t="str">
        <x:v>Conditional SOSA-provider semantic translation, not a universal native implementation. Selected C239 module/interface requirements; §6.2.1 and applicable Appendix B companions; exact product conformance scope not selected.</x:v>
      </x:c>
      <x:c r="G119" s="304" t="str">
        <x:v>https://publications.opengroup.org/c239</x:v>
      </x:c>
      <x:c r="H119" s="304" t="str">
        <x:v>DISR record lacks edition; no source-provider mapping or certification completed.</x:v>
      </x:c>
    </x:row>
    <x:row r="120" ht="74" customHeight="1">
      <x:c r="A120" s="304" t="str">
        <x:v>S115</x:v>
      </x:c>
      <x:c r="B120" s="304" t="str">
        <x:v>SOSA Domain-Specific Data Model, Edition 1.0, and IDL companion</x:v>
      </x:c>
      <x:c r="C120" s="304" t="str">
        <x:v>The Open Group source community; MERLIN integrators/researchers.</x:v>
      </x:c>
      <x:c r="D120" s="304" t="str">
        <x:v>Domain concepts and machine-readable source message structures.</x:v>
      </x:c>
      <x:c r="E120" s="304" t="str">
        <x:v>DSDM conceptual/logical/physical model; §§1.1.3.80–81 PowerBus/PowerPort; Appendix B.1 authority.</x:v>
      </x:c>
      <x:c r="F120" s="304" t="str">
        <x:v>Source-model translation; native message target not selected. C239 Appendix B.1 plus exact DSDM/IDL structures for selected native role.</x:v>
      </x:c>
      <x:c r="G120" s="304" t="str">
        <x:v>https://publications.opengroup.org/c239</x:v>
      </x:c>
      <x:c r="H120" s="304" t="str">
        <x:v>Normative companion role inherited from source review, not independent registry status.</x:v>
      </x:c>
    </x:row>
    <x:row r="121" ht="74" customHeight="1">
      <x:c r="A121" s="304" t="str">
        <x:v>S116</x:v>
      </x:c>
      <x:c r="B121" s="304" t="str">
        <x:v>SOSA in-band management OpenAPI definitions</x:v>
      </x:c>
      <x:c r="C121" s="304" t="str">
        <x:v>The Open Group source community; MERLIN integrators/researchers.</x:v>
      </x:c>
      <x:c r="D121" s="304" t="str">
        <x:v>Exact source-side API surfaces and management payload definitions.</x:v>
      </x:c>
      <x:c r="E121" s="304" t="str">
        <x:v>Chassis Manager, Module, PIC, Security Services, Software RTE, System Manager; C239 Rule 6.2.1-2.</x:v>
      </x:c>
      <x:c r="F121" s="304" t="str">
        <x:v>Conditional native management client plus separate OGC translation only when required. C239 §6.2.1 and relevant Appendix B API roles; exact JSON and OAS-spec edition distinctions.</x:v>
      </x:c>
      <x:c r="G121" s="304" t="str">
        <x:v>https://publications.opengroup.org/c239</x:v>
      </x:c>
      <x:c r="H121" s="304" t="str">
        <x:v>No API calls, role certification or source implementation selected.</x:v>
      </x:c>
    </x:row>
    <x:row r="122" ht="74" customHeight="1">
      <x:c r="A122" s="304" t="str">
        <x:v>S117</x:v>
      </x:c>
      <x:c r="B122" s="304" t="str">
        <x:v>Technical Standard for SOSA Reference Architecture, Edition 2.0 (Snapshot 3)</x:v>
      </x:c>
      <x:c r="C122" s="304" t="str">
        <x:v>The Open Group source community; MERLIN integrators/researchers.</x:v>
      </x:c>
      <x:c r="D122" s="304" t="str">
        <x:v>Developmental architecture/model comparator.</x:v>
      </x:c>
      <x:c r="E122" s="304" t="str">
        <x:v>592-page primary PDF; DSDM ICD, FACE3.1 model, IDL, six APIs and specialized appendices.</x:v>
      </x:c>
      <x:c r="F122" s="304" t="str">
        <x:v>Developmental comparison; no implementation target selected. No adopted normative dependency selected from S251.</x:v>
      </x:c>
      <x:c r="G122" s="304" t="str">
        <x:v>https://publications.opengroup.org/standards/s251</x:v>
      </x:c>
      <x:c r="H122" s="304" t="str">
        <x:v>Snapshot standing retained; no later adoption inferred.</x:v>
      </x:c>
    </x:row>
    <x:row r="123" ht="74" customHeight="1">
      <x:c r="A123" s="304" t="str">
        <x:v>S118</x:v>
      </x:c>
      <x:c r="B123" s="304" t="str">
        <x:v>Standardization Decisions for a Modular Open Systems Approach (MOSA)</x:v>
      </x:c>
      <x:c r="C123" s="304" t="str">
        <x:v>Defense Logistics Agency source community; MERLIN integrators/researchers.</x:v>
      </x:c>
      <x:c r="D123" s="304" t="str">
        <x:v>Methodology lead and context, not technical donor.</x:v>
      </x:c>
      <x:c r="E123" s="304" t="str">
        <x:v>ASSIST title, date and non-prescriptive scope; record rechecked 17 October.</x:v>
      </x:c>
      <x:c r="F123" s="304" t="str">
        <x:v>None: catalog-level methodology reference. No requirements adopted; full text not inspected.</x:v>
      </x:c>
      <x:c r="G123" s="304" t="str">
        <x:v>https://quicksearch.dla.mil/qsDocDetails.aspx?ident_number=286891</x:v>
      </x:c>
      <x:c r="H123" s="304" t="str">
        <x:v>Catalog scope only, not a technical conformance source.</x:v>
      </x:c>
    </x:row>
    <x:row r="124" ht="74" customHeight="1">
      <x:c r="A124" s="304" t="str">
        <x:v>S119</x:v>
      </x:c>
      <x:c r="B124" s="304" t="str">
        <x:v>Modular Open Systems Approach Portfolio: HOST, FACE, SOSA, UCS, and Open Mission Systems</x:v>
      </x:c>
      <x:c r="C124" s="304" t="str">
        <x:v>Defense Logistics Agency source community; MERLIN integrators/researchers.</x:v>
      </x:c>
      <x:c r="D124" s="304" t="str">
        <x:v>Architecture portfolio context and acronym disambiguation.</x:v>
      </x:c>
      <x:c r="E124" s="304" t="str">
        <x:v>ASSIST title, notice identity and date; metadata rechecked 17 October.</x:v>
      </x:c>
      <x:c r="F124" s="304" t="str">
        <x:v>None: portfolio notice metadata. No technical requirements inspected or selected.</x:v>
      </x:c>
      <x:c r="G124" s="304" t="str">
        <x:v>https://quicksearch.dla.mil/qsDocDetails.aspx?ident_number=284706</x:v>
      </x:c>
      <x:c r="H124" s="304" t="str">
        <x:v>Open Mission Systems is not OGC OMS; no model alignment inferred.</x:v>
      </x:c>
    </x:row>
    <x:row r="125" ht="74" customHeight="1">
      <x:c r="A125" s="304" t="str">
        <x:v>S120</x:v>
      </x:c>
      <x:c r="B125" s="304" t="str">
        <x:v>United States Code, title 10, §§4401–4403</x:v>
      </x:c>
      <x:c r="C125" s="304" t="str">
        <x:v>United States source community; MERLIN integrators/researchers.</x:v>
      </x:c>
      <x:c r="D125" s="304" t="str">
        <x:v>Policy/legal context, not a sensor vocabulary donor.</x:v>
      </x:c>
      <x:c r="E125" s="304" t="str">
        <x:v>Title 10 §§4401–4403, as cited by the study.</x:v>
      </x:c>
      <x:c r="F125" s="304" t="str">
        <x:v>None: contextual statutory citation only. No program-specific legal requirements adopted through this task.</x:v>
      </x:c>
      <x:c r="G125" s="304" t="str">
        <x:v>https://uscode.house.gov/view.xhtml?edition=prelim&amp;f=treesort&amp;req=(title:10%20section:4401%20edition:prelim)</x:v>
      </x:c>
      <x:c r="H125" s="304" t="str">
        <x:v>Mutable statutory locator; source-study citation depth only.</x:v>
      </x:c>
    </x:row>
    <x:row r="126" ht="74" customHeight="1">
      <x:c r="A126" s="304" t="str">
        <x:v>S121</x:v>
      </x:c>
      <x:c r="B126" s="304" t="str">
        <x:v>CSAPI Part 1 v1.0 property-definition JSON schema subset</x:v>
      </x:c>
      <x:c r="C126" s="304" t="str">
        <x:v>Open Geospatial Consortium source community; MERLIN integrators/researchers.</x:v>
      </x:c>
      <x:c r="D126" s="304" t="str">
        <x:v>Encoding evidence for qualified property descriptions.</x:v>
      </x:c>
      <x:c r="E126" s="304" t="str">
        <x:v>property.json; OGC 23-001 §§15.2 and 19.2.8</x:v>
      </x:c>
      <x:c r="F126" s="304" t="str">
        <x:v>Selected OGC resource/encoding plus authored MPSS interpretation. Applicable parent OGC requirements and complete JSON Schema dependency closure for any full validation claim.</x:v>
      </x:c>
      <x:c r="G126" s="304" t="str">
        <x:v>https://schemas.opengis.net/ogcapi/connected-systems/part1/1.0/openapi/schemas/sensorml/property.json</x:v>
      </x:c>
      <x:c r="H126" s="304" t="str">
        <x:v>Exact schema dependency closure and immutable publisher bytes incomplete; no native donor proof.</x:v>
      </x:c>
    </x:row>
    <x:row r="127" ht="74" customHeight="1">
      <x:c r="A127" s="304" t="str">
        <x:v>S122</x:v>
      </x:c>
      <x:c r="B127" s="304" t="str">
        <x:v>CSAPI Part 2 v1.0 DataStream and Observation JSON schema subset</x:v>
      </x:c>
      <x:c r="C127" s="304" t="str">
        <x:v>Open Geospatial Consortium source community; MERLIN integrators/researchers.</x:v>
      </x:c>
      <x:c r="D127" s="304" t="str">
        <x:v>Encoding evidence for native shared context and historical observation attribution.</x:v>
      </x:c>
      <x:c r="E127" s="304" t="str">
        <x:v>dataStream.json and observation.json; OGC 23-002 §§9.2 and 9.7.2</x:v>
      </x:c>
      <x:c r="F127" s="304" t="str">
        <x:v>Selected OGC resource/encoding plus authored MPSS interpretation. Applicable parent OGC requirements and complete JSON Schema dependency closure for any full validation claim.</x:v>
      </x:c>
      <x:c r="G127" s="304" t="str">
        <x:v>https://schemas.opengis.net/ogcapi/connected-systems/part2/1.0/openapi/schemas/json/dataStream.json</x:v>
      </x:c>
      <x:c r="H127" s="304" t="str">
        <x:v>Exact schema dependency closure and immutable publisher bytes incomplete; no native donor proof.</x:v>
      </x:c>
    </x:row>
    <x:row r="128" ht="74" customHeight="1">
      <x:c r="A128" s="304" t="str">
        <x:v>S123</x:v>
      </x:c>
      <x:c r="B128" s="304" t="str">
        <x:v>SWE Common 3.0 Quantity and basic-types JSON schema subset</x:v>
      </x:c>
      <x:c r="C128" s="304" t="str">
        <x:v>Open Geospatial Consortium source community; MERLIN integrators/researchers.</x:v>
      </x:c>
      <x:c r="D128" s="304" t="str">
        <x:v>Encoding evidence for typed values, units, constraints and declared nil semantics.</x:v>
      </x:c>
      <x:c r="E128" s="304" t="str">
        <x:v>Quantity.json and basicTypes.json; OGC 24-014 §§8.2.16 and 9.1.15</x:v>
      </x:c>
      <x:c r="F128" s="304" t="str">
        <x:v>Selected OGC resource/encoding plus authored MPSS interpretation. Applicable parent OGC requirements and complete JSON Schema dependency closure for any full validation claim.</x:v>
      </x:c>
      <x:c r="G128" s="304" t="str">
        <x:v>https://schemas.opengis.net/sweCommon/3.0/json/Quantity.json</x:v>
      </x:c>
      <x:c r="H128" s="304" t="str">
        <x:v>Exact schema dependency closure and immutable publisher bytes incomplete; no native donor proof.</x:v>
      </x:c>
    </x:row>
    <x:row r="129" ht="74" customHeight="1">
      <x:c r="A129" s="304" t="str">
        <x:v>S124</x:v>
      </x:c>
      <x:c r="B129" s="304" t="str">
        <x:v>SAPIENT networked autonomous sensing</x:v>
      </x:c>
      <x:c r="C129" s="304" t="str">
        <x:v>Defence Science and Technology Laboratory source community; MERLIN integrators/researchers.</x:v>
      </x:c>
      <x:c r="D129" s="304" t="str">
        <x:v>Later program context, distinct from S51 historical 2024 edition.</x:v>
      </x:c>
      <x:c r="E129" s="304" t="str">
        <x:v>Guidance title and update history; source study references.</x:v>
      </x:c>
      <x:c r="F129" s="304" t="str">
        <x:v>None: guidance-level context. Technical requirements belong to exact BSI/native/OGC sources, not guidance alone.</x:v>
      </x:c>
      <x:c r="G129" s="304" t="str">
        <x:v>https://www.gov.uk/guidance/sapient-autonomous-sensor-system</x:v>
      </x:c>
      <x:c r="H129" s="304" t="str">
        <x:v>Historical OSUS wording not found in current page; preserve S51 inspection provenance.</x:v>
      </x:c>
    </x:row>
    <x:row r="130" ht="175" customHeight="1">
      <x:c r="A130" s="28" t="str">
        <x:v>S125</x:v>
      </x:c>
      <x:c r="B130" s="28" t="str">
        <x:v>N42-2011 Radiation Portal Monitor example</x:v>
      </x:c>
      <x:c r="C130" s="28" t="str">
        <x:v>Sensor integrators and independent client implementers</x:v>
      </x:c>
      <x:c r="D130" s="28" t="str">
        <x:v>Reuse grouping and acquisition-context distinctions as radiation mapping evidence; retain native identifiers and references.</x:v>
      </x:c>
      <x:c r="E130" s="28" t="str">
        <x:v>Portal-monitor scenario narrative; linked historical Annex D additionally inspected as pinned OSCAR repository copy, S139.</x:v>
      </x:c>
      <x:c r="F130" s="28" t="str">
        <x:v>REUSE AS MAPPING PRECEDENT</x:v>
      </x:c>
      <x:c r="G130" s="28" t="str">
        <x:v>https://www.nist.gov/pml/radiation-physics/n42-2011/n42-2011-radiation-portal-monitor</x:v>
      </x:c>
      <x:c r="H130" s="28" t="str">
        <x:v>Example, not full normative text. The repository copy is not asserted byte-identical to the linked NIST file. No 2020 conformance is inferred.</x:v>
      </x:c>
    </x:row>
    <x:row r="131" ht="175" customHeight="1">
      <x:c r="A131" s="28" t="str">
        <x:v>S126</x:v>
      </x:c>
      <x:c r="B131" s="28" t="str">
        <x:v>N42-2011 Spectroscopic Radiation Portal Monitor example</x:v>
      </x:c>
      <x:c r="C131" s="28" t="str">
        <x:v>Sensor integrators and independent client implementers</x:v>
      </x:c>
      <x:c r="D131" s="28" t="str">
        <x:v>Use explicit raw-spectrum and derived-data references as provenance evidence, without assuming every same-passage record was an input.</x:v>
      </x:c>
      <x:c r="E131" s="28" t="str">
        <x:v>Spectroscopic scenario narrative; selected Annex E metadata and dependency references in pinned repository copy, S139.</x:v>
      </x:c>
      <x:c r="F131" s="28" t="str">
        <x:v>REUSE AS MAPPING PRECEDENT</x:v>
      </x:c>
      <x:c r="G131" s="28" t="str">
        <x:v>https://www.nist.gov/pml/radiation-physics/n42-2011/n42-2011-spectroscopic-radiation-portal-monitor</x:v>
      </x:c>
      <x:c r="H131" s="28" t="str">
        <x:v>Only selected fields and references inspected; no spectrum decompression, arithmetic verification or complete normative N42 assessment.</x:v>
      </x:c>
    </x:row>
    <x:row r="132" ht="175" customHeight="1">
      <x:c r="A132" s="28" t="str">
        <x:v>S127</x:v>
      </x:c>
      <x:c r="B132" s="28" t="str">
        <x:v>ANSI/IEEE N42.42-2020 Version: schema and example distribution index</x:v>
      </x:c>
      <x:c r="C132" s="28" t="str">
        <x:v>Sensor integrators and independent client implementers</x:v>
      </x:c>
      <x:c r="D132" s="28" t="str">
        <x:v>Pin the required native edition rather than relabeling an inspected 2011 example as 2020.</x:v>
      </x:c>
      <x:c r="E132" s="28" t="str">
        <x:v>2020 resource index and available schema/example/Schematron links; linked artifact retrieval failed in this session.</x:v>
      </x:c>
      <x:c r="F132" s="28" t="str">
        <x:v>GATED FOR NORMATIVE MAPPING</x:v>
      </x:c>
      <x:c r="G132" s="28" t="str">
        <x:v>https://www.nist.gov/pml/radiation-physics/ansiieee-n4242-2020-version</x:v>
      </x:c>
      <x:c r="H132" s="28" t="str">
        <x:v>No 2020 XSD bytes, Schematron execution or full IEEE normative text was examined in this increment. Index visibility is not schema validation.</x:v>
      </x:c>
    </x:row>
    <x:row r="133" ht="175" customHeight="1">
      <x:c r="A133" s="28" t="str">
        <x:v>S128</x:v>
      </x:c>
      <x:c r="B133" s="28" t="str">
        <x:v>PROV-DM: The PROV Data Model</x:v>
      </x:c>
      <x:c r="C133" s="28" t="str">
        <x:v>Sensor integrators and independent client implementers</x:v>
      </x:c>
      <x:c r="D133" s="28" t="str">
        <x:v>Select as the principal residual-lineage donor; compare to R11 rather than replacing the whole physical-system model.</x:v>
      </x:c>
      <x:c r="E133" s="28" t="str">
        <x:v>§§1.1, 5.1–5.3, 5.5–5.6 and 7; entity/activity, use, generation, derivation, revision, responsibility and membership.</x:v>
      </x:c>
      <x:c r="F133" s="28" t="str">
        <x:v>SELECT FOR BOUNDED FOLLOW-ON BINDING</x:v>
      </x:c>
      <x:c r="G133" s="28" t="str">
        <x:v>https://www.w3.org/TR/2013/REC-prov-dm-20130430/</x:v>
      </x:c>
      <x:c r="H133" s="28" t="str">
        <x:v>PROV does not define radiation truth, evidence sufficiency, passage identity or a case-management workflow.</x:v>
      </x:c>
    </x:row>
    <x:row r="134" ht="175" customHeight="1">
      <x:c r="A134" s="28" t="str">
        <x:v>S129</x:v>
      </x:c>
      <x:c r="B134" s="28" t="str">
        <x:v>PROV-O: The PROV Ontology</x:v>
      </x:c>
      <x:c r="C134" s="28" t="str">
        <x:v>Sensor integrators and independent client implementers</x:v>
      </x:c>
      <x:c r="D134" s="28" t="str">
        <x:v>Use a small optional RDF design specimen to test the relationship distinctions; no triple store or SPARQL endpoint is required by this proposal.</x:v>
      </x:c>
      <x:c r="E134" s="28" t="str">
        <x:v>§1.1, §§3–4; Entity, Activity, Collection, Plan, used, wasGeneratedBy, wasDerivedFrom, wasRevisionOf, qualifiedAssociation and hadPlan.</x:v>
      </x:c>
      <x:c r="F134" s="28" t="str">
        <x:v>CANDIDATE NATIVE ENCODING</x:v>
      </x:c>
      <x:c r="G134" s="28" t="str">
        <x:v>https://www.w3.org/TR/2013/REC-prov-o-20130430/</x:v>
      </x:c>
      <x:c r="H134" s="28" t="str">
        <x:v>Turtle parsing and the local assertions in this package do not constitute complete OWL or PROV constraint validation.</x:v>
      </x:c>
    </x:row>
    <x:row r="135" ht="175" customHeight="1">
      <x:c r="A135" s="28" t="str">
        <x:v>S130</x:v>
      </x:c>
      <x:c r="B135" s="28" t="str">
        <x:v>Constraints of the PROV Data Model</x:v>
      </x:c>
      <x:c r="C135" s="28" t="str">
        <x:v>Sensor integrators and independent client implementers</x:v>
      </x:c>
      <x:c r="D135" s="28" t="str">
        <x:v>Define the future validation boundary for any adopted PROV specimen.</x:v>
      </x:c>
      <x:c r="E135" s="28" t="str">
        <x:v>Validity/conformance framework and constraint families for identifiers, ordering, typing and impossible combinations.</x:v>
      </x:c>
      <x:c r="F135" s="28" t="str">
        <x:v>REQUIRED DEPENDENCY FOR FUTURE CLAIM</x:v>
      </x:c>
      <x:c r="G135" s="28" t="str">
        <x:v>https://www.w3.org/TR/2013/REC-prov-constraints-20130430/</x:v>
      </x:c>
      <x:c r="H135" s="28" t="str">
        <x:v>No complete inference/normalization engine or full constraint suite was implemented during this mapping study.</x:v>
      </x:c>
    </x:row>
    <x:row r="136" ht="175" customHeight="1">
      <x:c r="A136" s="28" t="str">
        <x:v>S131</x:v>
      </x:c>
      <x:c r="B136" s="28" t="str">
        <x:v>PROV-AQ: Provenance Access and Query</x:v>
      </x:c>
      <x:c r="C136" s="28" t="str">
        <x:v>Sensor integrators and independent client implementers</x:v>
      </x:c>
      <x:c r="D136" s="28" t="str">
        <x:v>Candidate companion-link pattern using the complete extension relation URI and an identified representation/version.</x:v>
      </x:c>
      <x:c r="E136" s="28" t="str">
        <x:v>§§1.2–1.4, 2–3.1; has_provenance link and target/anchor identity.</x:v>
      </x:c>
      <x:c r="F136" s="28" t="str">
        <x:v>CANDIDATE ACCESS PATTERN</x:v>
      </x:c>
      <x:c r="G136" s="28" t="str">
        <x:v>https://www.w3.org/TR/2013/NOTE-prov-aq-20130430/</x:v>
      </x:c>
      <x:c r="H136" s="28" t="str">
        <x:v>The Note is not a W3C Recommendation. Current server support and MPSS publication requirements remain untested.</x:v>
      </x:c>
    </x:row>
    <x:row r="137" ht="175" customHeight="1">
      <x:c r="A137" s="28" t="str">
        <x:v>S132</x:v>
      </x:c>
      <x:c r="B137" s="28" t="str">
        <x:v>Semantic Sensor Network Ontology – 2023 Edition</x:v>
      </x:c>
      <x:c r="C137" s="28" t="str">
        <x:v>Sensor integrators and independent client implementers</x:v>
      </x:c>
      <x:c r="D137" s="28" t="str">
        <x:v>Record explicit donor-to-donor alignment; compare the act of observing with the separately versioned record describing it.</x:v>
      </x:c>
      <x:c r="E137" s="28" t="str">
        <x:v>Collection provisions, OMS extension §6.1, PROV alignment §7.1.4 and CSAPI alignment §7.3.1.</x:v>
      </x:c>
      <x:c r="F137" s="28" t="str">
        <x:v>INFORMATIVE ALIGNMENT COMPARATOR</x:v>
      </x:c>
      <x:c r="G137" s="28" t="str">
        <x:v>https://www.w3.org/TR/2026/WD-vocab-ssn-2023-20261021/</x:v>
      </x:c>
      <x:c r="H137" s="28" t="str">
        <x:v>Not a Recommendation; no mandatory upgrade of the approved OGC baseline. Keep S99’s 12 October draft as history.</x:v>
      </x:c>
    </x:row>
    <x:row r="138" ht="175" customHeight="1">
      <x:c r="A138" s="28" t="str">
        <x:v>S133</x:v>
      </x:c>
      <x:c r="B138" s="28" t="str">
        <x:v>Data Catalog Vocabulary (DCAT) – Version 3</x:v>
      </x:c>
      <x:c r="C138" s="28" t="str">
        <x:v>Sensor integrators and independent client implementers</x:v>
      </x:c>
      <x:c r="D138" s="28" t="str">
        <x:v>Conditional candidate for describing published sensing products and multiple representations.</x:v>
      </x:c>
      <x:c r="E138" s="28" t="str">
        <x:v>Dataset/Distribution/DataService, related resources, provenance and version/checksum terms; bounded applicability review.</x:v>
      </x:c>
      <x:c r="F138" s="28" t="str">
        <x:v>DEFER UNLESS PRODUCT CATALOG NEED IS SHOWN</x:v>
      </x:c>
      <x:c r="G138" s="28" t="str">
        <x:v>https://www.w3.org/TR/vocab-dcat-3/</x:v>
      </x:c>
      <x:c r="H138" s="28" t="str">
        <x:v>A file is not automatically a dataset, and a catalog vocabulary does not define evidence sufficiency or a screening case.</x:v>
      </x:c>
    </x:row>
    <x:row r="139" ht="175" customHeight="1">
      <x:c r="A139" s="28" t="str">
        <x:v>S134</x:v>
      </x:c>
      <x:c r="B139" s="28" t="str">
        <x:v>Case Management Model and Notation (CMMN)</x:v>
      </x:c>
      <x:c r="C139" s="28" t="str">
        <x:v>Sensor integrators and independent client implementers</x:v>
      </x:c>
      <x:c r="D139" s="28" t="str">
        <x:v>Conditional research source when an investigation has a lifecycle beyond a recorded command/result.</x:v>
      </x:c>
      <x:c r="E139" s="28" t="str">
        <x:v>§2 conformance; §§5.3.1–5.3.2 CaseFile and CaseFileItem; printed pp.21–22 and Figure5.5 visually inspected.</x:v>
      </x:c>
      <x:c r="F139" s="28" t="str">
        <x:v>DEFER: NOT NEEDED TO MAP ONE RETURNED DECISION</x:v>
      </x:c>
      <x:c r="G139" s="28" t="str">
        <x:v>https://www.omg.org/spec/CMMN/1.1/PDF</x:v>
      </x:c>
      <x:c r="H139" s="28" t="str">
        <x:v>Borrowing CaseFile ideas is not CMMN implementation. No complete workflow or case engine is selected.</x:v>
      </x:c>
    </x:row>
    <x:row r="140" ht="175" customHeight="1">
      <x:c r="A140" s="28" t="str">
        <x:v>S135</x:v>
      </x:c>
      <x:c r="B140" s="28" t="str">
        <x:v>OGC API – Processes – Part 1: Core</x:v>
      </x:c>
      <x:c r="C140" s="28" t="str">
        <x:v>Sensor integrators and independent client implementers</x:v>
      </x:c>
      <x:c r="D140" s="28" t="str">
        <x:v>Compare only where a CSAPI command/result is insufficient for the actual execution-management requirement.</x:v>
      </x:c>
      <x:c r="E140" s="28" t="str">
        <x:v>Process description, execute, jobs, status and results provisions; applicability rather than service validation.</x:v>
      </x:c>
      <x:c r="F140" s="28" t="str">
        <x:v>DEFER: EXISTING COMMAND/RESULT FIRST</x:v>
      </x:c>
      <x:c r="G140" s="28" t="str">
        <x:v>https://docs.ogc.org/is/18-062r2/18-062r2.html</x:v>
      </x:c>
      <x:c r="H140" s="28" t="str">
        <x:v>Not required merely because OSCAR calls WebID or Cambio. No Processes service or latest-edition claim.</x:v>
      </x:c>
    </x:row>
    <x:row r="141" ht="175" customHeight="1">
      <x:c r="A141" s="28" t="str">
        <x:v>S136</x:v>
      </x:c>
      <x:c r="B141" s="28" t="str">
        <x:v>Detection at State Borders of Nuclear and Other Radioactive Material out of Regulatory Control</x:v>
      </x:c>
      <x:c r="C141" s="28" t="str">
        <x:v>Sensor integrators and independent client implementers</x:v>
      </x:c>
      <x:c r="D141" s="28" t="str">
        <x:v>Use to frame information requirements, not to manufacture a machine schema or universal decision classification.</x:v>
      </x:c>
      <x:c r="E141" s="28" t="str">
        <x:v>Official publication description and operational framing of border detection, equipment, responsibility and secondary inspection.</x:v>
      </x:c>
      <x:c r="F141" s="28" t="str">
        <x:v>DOMAIN CONTEXT ONLY</x:v>
      </x:c>
      <x:c r="G141" s="28" t="str">
        <x:v>https://nucleus.iaea.org/sites/nss-oui/Published%20Collections/m_9c5cd7cc-4f40-427c-87c9-c81e6fb0acb3/m_9c5cd7cc-4f40-427c-87c9-c81e6fb0acb3__3_0.Html</x:v>
      </x:c>
      <x:c r="H141" s="28" t="str">
        <x:v>No comprehensive clause-level implementation assessment, operational certification or legal guidance.</x:v>
      </x:c>
    </x:row>
    <x:row r="142" ht="175" customHeight="1">
      <x:c r="A142" s="28" t="str">
        <x:v>S137</x:v>
      </x:c>
      <x:c r="B142" s="28" t="str">
        <x:v>Documentary Standards: IEC 62755 Standard (N42 Data Format)</x:v>
      </x:c>
      <x:c r="C142" s="28" t="str">
        <x:v>Sensor integrators and independent client implementers</x:v>
      </x:c>
      <x:c r="D142" s="28" t="str">
        <x:v>Record relationship with N42 and verify edition-specific requirements before asserting equivalence.</x:v>
      </x:c>
      <x:c r="E142" s="28" t="str">
        <x:v>Official overview, purpose and artifact links; full IEC normative text not inspected.</x:v>
      </x:c>
      <x:c r="F142" s="28" t="str">
        <x:v>CONTEXT / NORMATIVE ACCESS GATED</x:v>
      </x:c>
      <x:c r="G142" s="28" t="str">
        <x:v>https://www.nist.gov/programs-projects/documentary-standards-iec-62755-standard-n42-data-format</x:v>
      </x:c>
      <x:c r="H142" s="28" t="str">
        <x:v>No automatic interchangeability, native conformance or shared schema-byte assertion.</x:v>
      </x:c>
    </x:row>
    <x:row r="143" ht="175" customHeight="1">
      <x:c r="A143" s="28" t="str">
        <x:v>S138</x:v>
      </x:c>
      <x:c r="B143" s="28" t="str">
        <x:v>OSCAR viewer – pinned discovery and stream interpretation implementation</x:v>
      </x:c>
      <x:c r="C143" s="28" t="str">
        <x:v>Sensor integrators and independent client implementers</x:v>
      </x:c>
      <x:c r="D143" s="28" t="str">
        <x:v>Donor implementation evidence for a competent generic baseline and explicit relationship/access mapping.</x:v>
      </x:c>
      <x:c r="E143" s="28" t="str">
        <x:v>Node.ts, Constants.tsx, Utilities.ts and HLSVideoComponent.tsx selected paths.</x:v>
      </x:c>
      <x:c r="F143" s="28" t="str">
        <x:v>REUSE IMPLEMENTATION EVIDENCE</x:v>
      </x:c>
      <x:c r="G143" s="28" t="str">
        <x:v>https://github.com/Botts-Innovative-Research/oscar-viewer/tree/4b49c7cedc841c875dbb63613dfd21c34b8fa6ed</x:v>
      </x:c>
      <x:c r="H143" s="28" t="str">
        <x:v>No full repository audit, runtime reproduction or assertion that every application convention is nonconformant.</x:v>
      </x:c>
    </x:row>
    <x:row r="144" ht="175" customHeight="1">
      <x:c r="A144" s="28" t="str">
        <x:v>S139</x:v>
      </x:c>
      <x:c r="B144" s="28" t="str">
        <x:v>OSCAR server modules and bundled N42 artifacts – pinned implementation</x:v>
      </x:c>
      <x:c r="C144" s="28" t="str">
        <x:v>Sensor integrators and independent client implementers</x:v>
      </x:c>
      <x:c r="D144" s="28" t="str">
        <x:v>Primary source-contract mapping and separate donor-example fact extraction.</x:v>
      </x:c>
      <x:c r="E144" s="28" t="str">
        <x:v>LaneSystem, OccupancyOutput, RADHelper, WebIdAnalyzer, AdjudicationControl, HLSControl; selected Annex D/E N42 and Schematron references.</x:v>
      </x:c>
      <x:c r="F144" s="28" t="str">
        <x:v>REUSE IMPLEMENTATION / EXAMPLE EVIDENCE</x:v>
      </x:c>
      <x:c r="G144" s="28" t="str">
        <x:v>https://github.com/Botts-Innovative-Research/osh-oakridge-modules/tree/817f408a017302387f4f427b9b7f8ec5bcb62c70</x:v>
      </x:c>
      <x:c r="H144" s="28" t="str">
        <x:v>No live source instance supplied. Synthetic walkthrough values are not captured OSCAR data; Annex D/E are historical examples, not the same runtime event.</x:v>
      </x:c>
    </x:row>
    <x:row r="145" ht="175" customHeight="1">
      <x:c r="A145" s="28" t="str">
        <x:v>S140</x:v>
      </x:c>
      <x:c r="B145" s="28" t="str">
        <x:v>OSCAR build-node and System Documentation Manual 3.5 – pinned bundle</x:v>
      </x:c>
      <x:c r="C145" s="28" t="str">
        <x:v>Sensor integrators and independent client implementers</x:v>
      </x:c>
      <x:c r="D145" s="28" t="str">
        <x:v>Bound the worked case and distinguish information requirements from software implementation responsibilities.</x:v>
      </x:c>
      <x:c r="E145" s="28" t="str">
        <x:v>README and manual §§6–8: lane families, event/evidence/adjudication flow, files, reports and offline behavior.</x:v>
      </x:c>
      <x:c r="F145" s="28" t="str">
        <x:v>REUSE OPERATIONAL CONTEXT</x:v>
      </x:c>
      <x:c r="G145" s="28" t="str">
        <x:v>https://github.com/Botts-Innovative-Research/osh-oakridge-buildnode/tree/ab8b847b662152bd949157197182bfdf8c429d21</x:v>
      </x:c>
      <x:c r="H145" s="28" t="str">
        <x:v>Manual3.5 inside the inspected newer build is not proof that all described behavior was executed or unchanged.</x:v>
      </x:c>
    </x:row>
  </x:sheetData>
  <x:mergeCells>
    <x:mergeCell ref="A1:H1"/>
    <x:mergeCell ref="A3:H3"/>
  </x:mergeCells>
  <x:pageMargins left="0.7" right="0.7" top="0.75" bottom="0.75" header="0.3" footer="0.3"/>
  <x:tableParts count="1">
    <x:tablePart xmlns:r="http://schemas.openxmlformats.org/officeDocument/2006/relationships" r:id="R58c8c0cb90d84fae"/>
  </x:tableParts>
</x:worksheet>
</file>

<file path=xl/worksheets/sheet10.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10" hidden="0" customWidth="1"/>
    <x:col min="2" max="2" width="16" hidden="0" customWidth="1"/>
    <x:col min="3" max="3" width="34" hidden="0" customWidth="1"/>
    <x:col min="4" max="4" width="40" hidden="0" customWidth="1"/>
    <x:col min="5" max="5" width="35" hidden="0" customWidth="1"/>
    <x:col min="6" max="6" width="40" hidden="0" customWidth="1"/>
    <x:col min="7" max="7" width="36" hidden="0" customWidth="1"/>
    <x:col min="8" max="8" width="38" hidden="0" customWidth="1"/>
    <x:col min="9" max="9" width="40" hidden="0" customWidth="1"/>
  </x:cols>
  <x:sheetData>
    <x:row r="1" ht="34" customHeight="1">
      <x:c r="A1" s="95" t="str">
        <x:v>SOURCE INSPECTION AND SEARCH LOG</x:v>
      </x:c>
      <x:c r="B1" s="95"/>
      <x:c r="C1" s="95"/>
      <x:c r="D1" s="95"/>
      <x:c r="E1" s="95"/>
      <x:c r="F1" s="95"/>
      <x:c r="G1" s="95"/>
      <x:c r="H1" s="95"/>
      <x:c r="I1" s="95"/>
    </x:row>
    <x:row r="2" ht="18" customHeight="1">
      <x:c r="A2" s="98" t="str">
        <x:v>Records successful retrievals and limits. Failed archive retrieval is not a finding against the standard.</x:v>
      </x:c>
      <x:c r="B2" s="98"/>
      <x:c r="C2" s="98"/>
      <x:c r="D2" s="98"/>
      <x:c r="E2" s="98"/>
      <x:c r="F2" s="98"/>
      <x:c r="G2" s="98"/>
      <x:c r="H2" s="98"/>
      <x:c r="I2" s="98"/>
    </x:row>
    <x:row r="3" ht="18" customHeight="1">
      <x:c r="A3" s="305" t="str">
        <x:v>HISTORICAL RECORD PRESERVED. Current v0.9 status: see Workstream Ledger, Applied R01-R20, Evidence Gates, Donor Coverage and Integration Gaps.</x:v>
      </x:c>
      <x:c r="B3" s="98"/>
      <x:c r="C3" s="98"/>
      <x:c r="D3" s="98"/>
      <x:c r="E3" s="98"/>
      <x:c r="F3" s="98"/>
      <x:c r="G3" s="98"/>
      <x:c r="H3" s="98"/>
      <x:c r="I3" s="98"/>
    </x:row>
    <x:row r="4" ht="9" customHeight="1">
      <x:c r="A4" s="89"/>
      <x:c r="B4" s="89"/>
      <x:c r="C4" s="89"/>
      <x:c r="D4" s="89"/>
      <x:c r="E4" s="89"/>
      <x:c r="F4" s="89"/>
      <x:c r="G4" s="89"/>
      <x:c r="H4" s="89"/>
      <x:c r="I4" s="89"/>
    </x:row>
    <x:row r="5" ht="45" customHeight="1">
      <x:c r="A5" s="101" t="str">
        <x:v>ID</x:v>
      </x:c>
      <x:c r="B5" s="101" t="str">
        <x:v>Date</x:v>
      </x:c>
      <x:c r="C5" s="101" t="str">
        <x:v>Scope</x:v>
      </x:c>
      <x:c r="D5" s="101" t="str">
        <x:v>Query / target</x:v>
      </x:c>
      <x:c r="E5" s="101" t="str">
        <x:v>Outcome</x:v>
      </x:c>
      <x:c r="F5" s="101" t="str">
        <x:v>Recovered evidence</x:v>
      </x:c>
      <x:c r="G5" s="101" t="str">
        <x:v>Permitted conclusion / limit</x:v>
      </x:c>
      <x:c r="H5" s="101" t="str">
        <x:v>Source identity / locator</x:v>
      </x:c>
      <x:c r="I5" s="101" t="str">
        <x:v>Source URL / recovery reference</x:v>
      </x:c>
    </x:row>
    <x:row r="6" ht="70" hidden="0" customHeight="1">
      <x:c r="A6" s="104" t="str">
        <x:v>L01</x:v>
      </x:c>
      <x:c r="B6" s="102" t="str">
        <x:v>2026-10-12</x:v>
      </x:c>
      <x:c r="C6" s="102" t="str">
        <x:v>Supplied DISR export</x:v>
      </x:c>
      <x:c r="D6" s="102" t="str">
        <x:v>SensorML | SWE Common | Connected Systems | 23-001 | 23-002 | 24-014 | 23-000</x:v>
      </x:c>
      <x:c r="E6" s="102" t="str">
        <x:v>Successful exact matches</x:v>
      </x:c>
      <x:c r="F6" s="102" t="str">
        <x:v>Four OGC editions Emerging / IC-Emerging; older SensorML/SWE Common editions Mandated / IC-Mandated.</x:v>
      </x:c>
      <x:c r="G6" s="102" t="str">
        <x:v>Exact current-baseline records; current standing is authoritative under owner direction.</x:v>
      </x:c>
      <x:c r="H6" s="102" t="str">
        <x:v>StandardsReport_20261010T134742.352 GMT.xlsx(1).csv; parsed lines 592, 1188, 1841, 3580, 3699, 5269</x:v>
      </x:c>
      <x:c r="I6" s="102" t="str">
        <x:v>libfile_41ef1e7ddf5c81918c3b67fe0ceec449</x:v>
      </x:c>
    </x:row>
    <x:row r="7" ht="70" hidden="0" customHeight="1">
      <x:c r="A7" s="105" t="str">
        <x:v>L02</x:v>
      </x:c>
      <x:c r="B7" s="89" t="str">
        <x:v>2026-10-12</x:v>
      </x:c>
      <x:c r="C7" s="89" t="str">
        <x:v>Supplied DISR export</x:v>
      </x:c>
      <x:c r="D7" s="89" t="str">
        <x:v>OPC | 62541 | PA-DIM | Administration Shell | 63278 | 7577 | 7326 | 8348 | Web of Things | SAREF | Semantic Sensor | SSN | UCUM | Unified Code | QUDT</x:v>
      </x:c>
      <x:c r="E7" s="89" t="str">
        <x:v>Successful full-export alias search</x:v>
      </x:c>
      <x:c r="F7" s="89" t="str">
        <x:v>RFC 8348 matched. No other match returned for these aliases.</x:v>
      </x:c>
      <x:c r="G7" s="89" t="str">
        <x:v>Nonmatching identified artifacts are absent from the authoritative baseline; reasons for absence are separate.</x:v>
      </x:c>
      <x:c r="H7" s="89" t="str">
        <x:v>StandardsReport_20261010T134742.352 GMT.xlsx(1).csv; RFC 8348 parsed line 4447</x:v>
      </x:c>
      <x:c r="I7" s="89" t="str">
        <x:v>libfile_41ef1e7ddf5c81918c3b67fe0ceec449</x:v>
      </x:c>
    </x:row>
    <x:row r="8" ht="70" hidden="0" customHeight="1">
      <x:c r="A8" s="104" t="str">
        <x:v>L03</x:v>
      </x:c>
      <x:c r="B8" s="102" t="str">
        <x:v>2026-10-12</x:v>
      </x:c>
      <x:c r="C8" s="102" t="str">
        <x:v>Supplied DISR export</x:v>
      </x:c>
      <x:c r="D8" s="102" t="str">
        <x:v>MIMOSA | MIP | JC3IEDM | 5525 | 5653 | 5668 | NCDF | Profiles Vocabulary | Marine Profiles</x:v>
      </x:c>
      <x:c r="E8" s="102" t="str">
        <x:v>Successful full-export search</x:v>
      </x:c>
      <x:c r="F8" s="102" t="str">
        <x:v>Exact MIMOSA packages and STANAG 5525 recovered; unrelated MIP substrings excluded.</x:v>
      </x:c>
      <x:c r="G8" s="102" t="str">
        <x:v>Exact editions only; no status transfer to scenarios, papers or later releases.</x:v>
      </x:c>
      <x:c r="H8" s="102" t="str">
        <x:v>StandardsReport_20261010T134742.352 GMT.xlsx(1).csv; parsed lines 72, 1890, 2936, 3298, 3309, 4993</x:v>
      </x:c>
      <x:c r="I8" s="102" t="str">
        <x:v>libfile_41ef1e7ddf5c81918c3b67fe0ceec449</x:v>
      </x:c>
    </x:row>
    <x:row r="9" ht="70" hidden="0" customHeight="1">
      <x:c r="A9" s="105" t="str">
        <x:v>L04</x:v>
      </x:c>
      <x:c r="B9" s="89" t="str">
        <x:v>2026-10-12</x:v>
      </x:c>
      <x:c r="C9" s="89" t="str">
        <x:v>Supplied DISR export</x:v>
      </x:c>
      <x:c r="D9" s="89" t="str">
        <x:v>ISO/IEC TR 10000-1 and broader standards aliases</x:v>
      </x:c>
      <x:c r="E9" s="89" t="str">
        <x:v>Successful exact match</x:v>
      </x:c>
      <x:c r="F9" s="89" t="str">
        <x:v>ISO/IEC TR 10000-1 Fourth edition 1998: I/G, Active / IC-Active.</x:v>
      </x:c>
      <x:c r="G9" s="89" t="str">
        <x:v>Does not establish OGC ModSpec adoption</x:v>
      </x:c>
      <x:c r="H9" s="89" t="str">
        <x:v>StandardsReport_20261010T134742.352 GMT.xlsx(1).csv; parsed line 1221</x:v>
      </x:c>
      <x:c r="I9" s="89" t="str">
        <x:v>libfile_41ef1e7ddf5c81918c3b67fe0ceec449</x:v>
      </x:c>
    </x:row>
    <x:row r="10" ht="70" hidden="0" customHeight="1">
      <x:c r="A10" s="104" t="str">
        <x:v>L05</x:v>
      </x:c>
      <x:c r="B10" s="102" t="str">
        <x:v>2026-10-12</x:v>
      </x:c>
      <x:c r="C10" s="102" t="str">
        <x:v>Later DISR retrieval attempts</x:v>
      </x:c>
      <x:c r="D10" s="102" t="str">
        <x:v>8348 | 10000-1 | SensorML (known-positive control), plus new aliases</x:v>
      </x:c>
      <x:c r="E10" s="102" t="str">
        <x:v>Retrieval failure / invalid absence test</x:v>
      </x:c>
      <x:c r="F10" s="102" t="str">
        <x:v>Zero results were returned even for previously recovered exact positive records.</x:v>
      </x:c>
      <x:c r="G10" s="102" t="str">
        <x:v>Historical failed calls are not absence evidence. Superseded for active baseline assessments by successful full-export searches L11–L13.</x:v>
      </x:c>
      <x:c r="H10" s="102" t="str">
        <x:v>Earlier positive records retained; later failed full-text lookup</x:v>
      </x:c>
      <x:c r="I10" s="102" t="str">
        <x:v>libfile_41ef1e7ddf5c81918c3b67fe0ceec449</x:v>
      </x:c>
    </x:row>
    <x:row r="11" ht="70" hidden="0" customHeight="1">
      <x:c r="A11" s="105" t="str">
        <x:v>L06</x:v>
      </x:c>
      <x:c r="B11" s="89" t="str">
        <x:v>2026-10-12</x:v>
      </x:c>
      <x:c r="C11" s="89" t="str">
        <x:v>Official DLA web guidance</x:v>
      </x:c>
      <x:c r="D11" s="89" t="str">
        <x:v>DISR Mandated / Emerging status descriptions</x:v>
      </x:c>
      <x:c r="E11" s="89" t="str">
        <x:v>Official indexed excerpt; page blocked</x:v>
      </x:c>
      <x:c r="F11" s="89" t="str">
        <x:v>Search-index excerpts recovered; full page returned 403.</x:v>
      </x:c>
      <x:c r="G11" s="89" t="str">
        <x:v>Use only excerpted status explanation, not a complete legal/policy or submission-procedure determination</x:v>
      </x:c>
      <x:c r="H11" s="89" t="str">
        <x:v>S29; official DSP/DLA page</x:v>
      </x:c>
      <x:c r="I11" s="89" t="str">
        <x:v>https://www.dsp.dla.mil/specs-standards/list-of-disr-documents/</x:v>
      </x:c>
    </x:row>
    <x:row r="12" ht="70" hidden="0" customHeight="1">
      <x:c r="A12" s="104" t="str">
        <x:v>L07</x:v>
      </x:c>
      <x:c r="B12" s="102" t="str">
        <x:v>2026-10-12</x:v>
      </x:c>
      <x:c r="C12" s="102" t="str">
        <x:v>Official issuance site</x:v>
      </x:c>
      <x:c r="D12" s="102" t="str">
        <x:v>DoDI 8310.01 April 7, 2023</x:v>
      </x:c>
      <x:c r="E12" s="102" t="str">
        <x:v>Metadata verified; full text blocked</x:v>
      </x:c>
      <x:c r="F12" s="102" t="str">
        <x:v>Official document identity and publication date recovered; PDF returned 403.</x:v>
      </x:c>
      <x:c r="G12" s="102" t="str">
        <x:v>No paragraph-level current procedure, exemption, waiver, or approval conclusion</x:v>
      </x:c>
      <x:c r="H12" s="102" t="str">
        <x:v>S30; official instruction URL</x:v>
      </x:c>
      <x:c r="I12" s="102" t="str">
        <x:v>https://www.esd.whs.mil/portals/54/documents/dd/issuances/dodi/831001p.pdf</x:v>
      </x:c>
    </x:row>
    <x:row r="13" ht="70" hidden="0" customHeight="1">
      <x:c r="A13" s="105" t="str">
        <x:v>L08</x:v>
      </x:c>
      <x:c r="B13" s="89" t="str">
        <x:v>2026-10-12</x:v>
      </x:c>
      <x:c r="C13" s="89" t="str">
        <x:v>Public NISP archive</x:v>
      </x:c>
      <x:c r="D13" s="89" t="str">
        <x:v>NISP 15 Volume 1, Chapter 5 and Appendix A</x:v>
      </x:c>
      <x:c r="E13" s="89" t="str">
        <x:v>Historical official text inspected</x:v>
      </x:c>
      <x:c r="F13" s="89" t="str">
        <x:v>2023 profile and RFC rules recovered, including references to non-NATO standards/profiles.</x:v>
      </x:c>
      <x:c r="G13" s="89" t="str">
        <x:v>Not a complete 2026 baseline or verification of current submission contacts</x:v>
      </x:c>
      <x:c r="H13" s="89" t="str">
        <x:v>S31; Chapter 5 / Appendix A</x:v>
      </x:c>
      <x:c r="I13" s="89" t="str">
        <x:v>https://archive.nisp.nw3.dk/nisp-15.0/volume1/ch05.html</x:v>
      </x:c>
    </x:row>
    <x:row r="14" ht="70" hidden="0" customHeight="1">
      <x:c r="A14" s="104" t="str">
        <x:v>L09</x:v>
      </x:c>
      <x:c r="B14" s="102" t="str">
        <x:v>2026-10-12</x:v>
      </x:c>
      <x:c r="C14" s="102" t="str">
        <x:v>Project NATO sources</x:v>
      </x:c>
      <x:c r="D14" s="102" t="str">
        <x:v>STANAG 4789 exact ratification letter and AEP Volume II recovery</x:v>
      </x:c>
      <x:c r="E14" s="102" t="str">
        <x:v>Official letter recovered; volume not recovered</x:v>
      </x:c>
      <x:c r="F14" s="102" t="str">
        <x:v>28 Aug 2026 NSO letter and covering agreement inspected; due 28 Nov 2026. Actual technical Volume II not recovered.</x:v>
      </x:c>
      <x:c r="G14" s="102" t="str">
        <x:v>Letter does not establish promulgation, all-national implementation, or exact Volume II clause coverage</x:v>
      </x:c>
      <x:c r="H14" s="102" t="str">
        <x:v>S32; 0932E(2026)NU-STANAG 4789 JCGISR ED1 RD1 AEP-4789 EDA V1.pdf</x:v>
      </x:c>
      <x:c r="I14" s="102" t="str">
        <x:v>file_00000000790081f4a266e8fc5372574c</x:v>
      </x:c>
    </x:row>
    <x:row r="15" ht="70" hidden="0" customHeight="1">
      <x:c r="A15" s="105" t="str">
        <x:v>L10</x:v>
      </x:c>
      <x:c r="B15" s="89" t="str">
        <x:v>2026-10-12</x:v>
      </x:c>
      <x:c r="C15" s="89" t="str">
        <x:v>OGC normative specification</x:v>
      </x:c>
      <x:c r="D15" s="89" t="str">
        <x:v>SensorML 3.0 §2; metadata extensions; ModSpec §§4.16, 6.5</x:v>
      </x:c>
      <x:c r="E15" s="89" t="str">
        <x:v>Selected normative clauses inspected</x:v>
      </x:c>
      <x:c r="F15" s="89" t="str">
        <x:v>Shared semantics and informative examples distinguished from normative extension and profile rules.</x:v>
      </x:c>
      <x:c r="G15" s="89" t="str">
        <x:v>No MERLIN profile or donor-standard conformance has been tested</x:v>
      </x:c>
      <x:c r="H15" s="89" t="str">
        <x:v>S01 + S28</x:v>
      </x:c>
      <x:c r="I15" s="89" t="str">
        <x:v>https://docs.ogc.org/is/23-000/23-000.html ; https://docs.ogc.org/pol/08-131r3/08-131r3.pdf</x:v>
      </x:c>
    </x:row>
    <x:row r="16" ht="70" hidden="0" customHeight="1">
      <x:c r="A16" s="104" t="str">
        <x:v>L11</x:v>
      </x:c>
      <x:c r="B16" s="102" t="str">
        <x:v>2026-10-12</x:v>
      </x:c>
      <x:c r="C16" s="102" t="str">
        <x:v>Authoritative current DISR baseline</x:v>
      </x:c>
      <x:c r="D16" s="102" t="str">
        <x:v>09-033 | 09-163 | OWS-6 | Profile for Discovery | SensorML | 23-001 | 23-002 | 24-014 | 08-131</x:v>
      </x:c>
      <x:c r="E16" s="102" t="str">
        <x:v>Successful full-export search with positive controls</x:v>
      </x:c>
      <x:c r="F16" s="102" t="str">
        <x:v>Current OGC records and legacy SensorML records returned; DDMS discovery title is unrelated. Neither historical OGC paper nor ModSpec matched.</x:v>
      </x:c>
      <x:c r="G16" s="102" t="str">
        <x:v>OGC 09-033 / 09-163r2 / ModSpec absent; no live check needed to establish baseline standing.</x:v>
      </x:c>
      <x:c r="H16" s="102" t="str">
        <x:v>Raw source lines 592, 804, 1841, 3580, 3699, 5185, 5269</x:v>
      </x:c>
      <x:c r="I16" s="102" t="str">
        <x:v>libfile_41ef1e7ddf5c81918c3b67fe0ceec449</x:v>
      </x:c>
    </x:row>
    <x:row r="17" ht="70" hidden="0" customHeight="1">
      <x:c r="A17" s="105" t="str">
        <x:v>L12</x:v>
      </x:c>
      <x:c r="B17" s="89" t="str">
        <x:v>2026-10-12</x:v>
      </x:c>
      <x:c r="C17" s="89" t="str">
        <x:v>Authoritative current DISR baseline</x:v>
      </x:c>
      <x:c r="D17" s="89" t="str">
        <x:v>OPC | 62541 | 10000-100 | 30081 | PA-DIM | AAS | 63278 | SAREF | WoT | UCUM | QUDT | SOSA | 7577 | 7326 | 8348</x:v>
      </x:c>
      <x:c r="E17" s="89" t="str">
        <x:v>Successful full-export search</x:v>
      </x:c>
      <x:c r="F17" s="89" t="str">
        <x:v>RFC 8348 present; The Open Group SOSA is a different standard from W3C SOSA/SSN.</x:v>
      </x:c>
      <x:c r="G17" s="89" t="str">
        <x:v>Identified nonmatching candidates absent; do not infer a rejected proposal or competitor victory.</x:v>
      </x:c>
      <x:c r="H17" s="89" t="str">
        <x:v>Raw source lines 3719 (Open Group SOSA), 4447 (RFC 8348)</x:v>
      </x:c>
      <x:c r="I17" s="89" t="str">
        <x:v>libfile_41ef1e7ddf5c81918c3b67fe0ceec449</x:v>
      </x:c>
    </x:row>
    <x:row r="18" ht="70" hidden="0" customHeight="1">
      <x:c r="A18" s="104" t="str">
        <x:v>L13</x:v>
      </x:c>
      <x:c r="B18" s="102" t="str">
        <x:v>2026-10-12</x:v>
      </x:c>
      <x:c r="C18" s="102" t="str">
        <x:v>Authoritative current DISR baseline</x:v>
      </x:c>
      <x:c r="D18" s="102" t="str">
        <x:v>MIMOSA | 5525 | 5653 | 5668 | Profiles Vocabulary | Marine profile | 10000-1 | 19106</x:v>
      </x:c>
      <x:c r="E18" s="102" t="str">
        <x:v>Successful full-export search</x:v>
      </x:c>
      <x:c r="F18" s="102" t="str">
        <x:v>Exact MIMOSA, JC3IEDM and ISO/IEC TR10000-1 records; historical and current editions separated.</x:v>
      </x:c>
      <x:c r="G18" s="102" t="str">
        <x:v>NCDF/profile aliases do not acquire status from adjacent records.</x:v>
      </x:c>
      <x:c r="H18" s="102" t="str">
        <x:v>Raw source lines 72, 1221, 1890, 2936, 3298, 3309, 4993</x:v>
      </x:c>
      <x:c r="I18" s="102" t="str">
        <x:v>libfile_41ef1e7ddf5c81918c3b67fe0ceec449</x:v>
      </x:c>
    </x:row>
    <x:row r="19" ht="70" hidden="0" customHeight="1">
      <x:c r="A19" s="105" t="str">
        <x:v>L14</x:v>
      </x:c>
      <x:c r="B19" s="89" t="str">
        <x:v>2026-10-12</x:v>
      </x:c>
      <x:c r="C19" s="89" t="str">
        <x:v>OGC publisher catalogue and targeted web search</x:v>
      </x:c>
      <x:c r="D19" s="89" t="str">
        <x:v>SensorML Profile for Discovery; SensorML3 successor; 09-033; 09-163r2</x:v>
      </x:c>
      <x:c r="E19" s="89" t="str">
        <x:v>Historical artifacts recovered; no applicable adopted successor established</x:v>
      </x:c>
      <x:c r="F19" s="89" t="str">
        <x:v>Official catalogue lists 09-033 PER and 09-163r2 DP v0.3.0; marine sources retained separately.</x:v>
      </x:c>
      <x:c r="G19" s="89" t="str">
        <x:v>Bounded successor search, not a claim that no profile exists.</x:v>
      </x:c>
      <x:c r="H19" s="89" t="str">
        <x:v>S33–S34; publisher catalogue</x:v>
      </x:c>
      <x:c r="I19" s="89" t="str">
        <x:v>https://www.ogc.org/standards/sensorml/</x:v>
      </x:c>
    </x:row>
    <x:row r="20" ht="70" hidden="0" customHeight="1">
      <x:c r="A20" s="104" t="str">
        <x:v>L15</x:v>
      </x:c>
      <x:c r="B20" s="102" t="str">
        <x:v>2026-10-12</x:v>
      </x:c>
      <x:c r="C20" s="102" t="str">
        <x:v>Historical profile predicate audit</x:v>
      </x:c>
      <x:c r="D20" s="102" t="str">
        <x:v>Listings7-4/7-5; nine authored synthetic XML fragments</x:v>
      </x:c>
      <x:c r="E20" s="102" t="str">
        <x:v>Executed isolated XPath probes</x:v>
      </x:c>
      <x:c r="F20" s="102" t="str">
        <x:v>Versioned versus versionless URI, duplicate/missing context and empty-value cases recorded.</x:v>
      </x:c>
      <x:c r="G20" s="102" t="str">
        <x:v>Not complete Schematron, base-schema, vendor or CSAPI conformance testing.</x:v>
      </x:c>
      <x:c r="H20" s="102" t="str">
        <x:v>Rule Probes P01–P09</x:v>
      </x:c>
      <x:c r="I20" s="102" t="str">
        <x:v>https://docs.ogc.org/per/09-033/09-033.pdf</x:v>
      </x:c>
    </x:row>
    <x:row r="21" ht="70" hidden="0" customHeight="1">
      <x:c r="A21" s="105" t="str">
        <x:v>L16</x:v>
      </x:c>
      <x:c r="B21" s="89" t="str">
        <x:v>2026-10-12</x:v>
      </x:c>
      <x:c r="C21" s="89" t="str">
        <x:v>Current OGC requirement and schema inspection</x:v>
      </x:c>
      <x:c r="D21" s="89" t="str">
        <x:v>SensorML§9; DescribedObject.json; CSAPI§19.2 and AnnexA.13; system.json</x:v>
      </x:c>
      <x:c r="E21" s="89" t="str">
        <x:v>Selected normative contracts and schemas inspected</x:v>
      </x:c>
      <x:c r="F21" s="89" t="str">
        <x:v>Required identity/label, response wrapper, HTTP/mappings and dependency discrepancy recorded.</x:v>
      </x:c>
      <x:c r="G21" s="89" t="str">
        <x:v>No full reference-graph validation or live API test performed.</x:v>
      </x:c>
      <x:c r="H21" s="89" t="str">
        <x:v>S01–S03; OGC Comparison B01–B12</x:v>
      </x:c>
      <x:c r="I21" s="89" t="str">
        <x:v>https://docs.ogc.org/is/23-001/23-001.html</x:v>
      </x:c>
    </x:row>
    <x:row r="22" ht="70" hidden="0" customHeight="1">
      <x:c r="A22" s="104" t="str">
        <x:v>L17</x:v>
      </x:c>
      <x:c r="B22" s="102" t="str">
        <x:v>2026-10-12</x:v>
      </x:c>
      <x:c r="C22" s="102" t="str">
        <x:v>OPC implementation-contract check</x:v>
      </x:c>
      <x:c r="D22" s="102" t="str">
        <x:v>Devices§11 profile pointer; OPC UA Part7v1.05.02§4</x:v>
      </x:c>
      <x:c r="E22" s="102" t="str">
        <x:v>Conformance mechanism inspected</x:v>
      </x:c>
      <x:c r="F22" s="102" t="str">
        <x:v>Profiles/units define native obligations; no specific native Devices profile selected.</x:v>
      </x:c>
      <x:c r="G22" s="102" t="str">
        <x:v>Present composition use is design precedent, not OPC implementation.</x:v>
      </x:c>
      <x:c r="H22" s="102" t="str">
        <x:v>S05; Conformance Plan</x:v>
      </x:c>
      <x:c r="I22" s="102" t="str">
        <x:v>https://reference.opcfoundation.org/specs/OPC-10000-7/4</x:v>
      </x:c>
    </x:row>
    <x:row r="23" ht="70" customHeight="1">
      <x:c r="A23" s="105" t="str">
        <x:v>L18</x:v>
      </x:c>
      <x:c r="B23" s="89" t="str">
        <x:v>2026-10-12</x:v>
      </x:c>
      <x:c r="C23" s="89" t="str">
        <x:v>Full authoritative DISR export</x:v>
      </x:c>
      <x:c r="D23" s="89" t="str">
        <x:v>02003|02011|02020|Asset Administration|63278|Common Conceptual|Common Collaborative|CCOM|MIMOSA</x:v>
      </x:c>
      <x:c r="E23" s="89" t="str">
        <x:v>Successful whole-export search</x:v>
      </x:c>
      <x:c r="F23" s="89" t="str">
        <x:v>Only MIMOSA family records matched; no separate inspected IDTA/CCOM entries.</x:v>
      </x:c>
      <x:c r="G23" s="89" t="str">
        <x:v>Exact new artifacts absent; OSA-EAI and OSA-CBM statuses remain edition-specific.</x:v>
      </x:c>
      <x:c r="H23" s="89" t="str">
        <x:v>S25 full export, MIMOSA rows 3298 and 3309</x:v>
      </x:c>
      <x:c r="I23" s="89" t="str">
        <x:v>libfile_41ef1e7ddf5c81918c3b67fe0ceec449</x:v>
      </x:c>
    </x:row>
    <x:row r="24" ht="70" customHeight="1">
      <x:c r="A24" s="104" t="str">
        <x:v>L19</x:v>
      </x:c>
      <x:c r="B24" s="102" t="str">
        <x:v>2026-10-12</x:v>
      </x:c>
      <x:c r="C24" s="102" t="str">
        <x:v>MIMOSA production release pages</x:v>
      </x:c>
      <x:c r="D24" s="102" t="str">
        <x:v>OSA-EAI 3.2.3a; OSA-CBM 3.3.1</x:v>
      </x:c>
      <x:c r="E24" s="102" t="str">
        <x:v>Release text recovered; ZIP bytes unavailable</x:v>
      </x:c>
      <x:c r="F24" s="102" t="str">
        <x:v>Dates/maintenance changes read; no archive schemas inspected.</x:v>
      </x:c>
      <x:c r="G24" s="102" t="str">
        <x:v>Do not claim the exact mandated model content was audited.</x:v>
      </x:c>
      <x:c r="H24" s="102" t="str">
        <x:v>S16–S17</x:v>
      </x:c>
      <x:c r="I24" s="102" t="str">
        <x:v>https://www.mimosa.org/specifications/osa-eai-3-2-3a/ ; https://www.mimosa.org/specifications/osa-cbm-3-3-1/</x:v>
      </x:c>
    </x:row>
    <x:row r="25" ht="70" customHeight="1">
      <x:c r="A25" s="105" t="str">
        <x:v>L20</x:v>
      </x:c>
      <x:c r="B25" s="89" t="str">
        <x:v>2026-10-12</x:v>
      </x:c>
      <x:c r="C25" s="89" t="str">
        <x:v>MIMOSA detailed model</x:v>
      </x:c>
      <x:c r="D25" s="89" t="str">
        <x:v>CCOM UML 4.1.0-RC1</x:v>
      </x:c>
      <x:c r="E25" s="89" t="str">
        <x:v>Primary PDF and selected diagrams inspected</x:v>
      </x:c>
      <x:c r="F25" s="89" t="str">
        <x:v>Attribute sets, Registry, RegistryConfiguration and Health/Prognostic sections.</x:v>
      </x:c>
      <x:c r="G25" s="89" t="str">
        <x:v>Later proposed/RC1 artifact, separate from mandated package.</x:v>
      </x:c>
      <x:c r="H25" s="89" t="str">
        <x:v>S35</x:v>
      </x:c>
      <x:c r="I25" s="89" t="str">
        <x:v>https://www.mimosa.org/wp-content/uploads/specifications/2019/12/ccom-4-1-0-rc1/CCOM-UML-Class-Model-4.1.0-RC1.pdf</x:v>
      </x:c>
    </x:row>
    <x:row r="26" ht="70" customHeight="1">
      <x:c r="A26" s="104" t="str">
        <x:v>L21</x:v>
      </x:c>
      <x:c r="B26" s="102" t="str">
        <x:v>2026-10-12</x:v>
      </x:c>
      <x:c r="C26" s="102" t="str">
        <x:v>IDTA published templates</x:v>
      </x:c>
      <x:c r="D26" s="102" t="str">
        <x:v>02003; 02011 base; 02011-1 extension; 02020</x:v>
      </x:c>
      <x:c r="E26" s="102" t="str">
        <x:v>Four primary specifications inspected</x:v>
      </x:c>
      <x:c r="F26" s="102" t="str">
        <x:v>Actual content, exclusions, native usage and file/API distinctions.</x:v>
      </x:c>
      <x:c r="G26" s="102" t="str">
        <x:v>No blanket AAS adoption; roles differ by template.</x:v>
      </x:c>
      <x:c r="H26" s="102" t="str">
        <x:v>S36–S39</x:v>
      </x:c>
      <x:c r="I26" s="102" t="str">
        <x:v>https://industrialdigitaltwin.org/en/content-hub/downloads</x:v>
      </x:c>
    </x:row>
    <x:row r="27" ht="70" customHeight="1">
      <x:c r="A27" s="105" t="str">
        <x:v>L22</x:v>
      </x:c>
      <x:c r="B27" s="89" t="str">
        <x:v>2026-10-12</x:v>
      </x:c>
      <x:c r="C27" s="89" t="str">
        <x:v>Marine community repository</x:v>
      </x:c>
      <x:c r="D27" s="89" t="str">
        <x:v>docs/02_SensorML.md</x:v>
      </x:c>
      <x:c r="E27" s="89" t="str">
        <x:v>Selected source ranges recovered via GitHub</x:v>
      </x:c>
      <x:c r="F27" s="89" t="str">
        <x:v>Model/instance content, vocabularies, attached sensor links and unfinished passages.</x:v>
      </x:c>
      <x:c r="G27" s="89" t="str">
        <x:v>Historical profile content, not a current validated binding.</x:v>
      </x:c>
      <x:c r="H27" s="89" t="str">
        <x:v>S21; blob 6eb1b4299057e1ded5ad71d60f43bee84173a81e</x:v>
      </x:c>
      <x:c r="I27" s="89" t="str">
        <x:v>https://github.com/ODIP/MarineProfilesForSWE/blob/master/docs/02_SensorML.md</x:v>
      </x:c>
    </x:row>
    <x:row r="28" ht="115" customHeight="1">
      <x:c r="A28" s="240" t="str">
        <x:v>L23</x:v>
      </x:c>
      <x:c r="B28" s="239" t="str">
        <x:v>2026-10-12</x:v>
      </x:c>
      <x:c r="C28" s="239" t="str">
        <x:v>Authoritative DISR baseline</x:v>
      </x:c>
      <x:c r="D28" s="239" t="str">
        <x:v>29182 | 8259 | 7228 | 7326 | OSUS | Terra Harvest | CDIF | SAPIENT | 8348</x:v>
      </x:c>
      <x:c r="E28" s="239" t="str">
        <x:v>Successful full-file search; known controls returned</x:v>
      </x:c>
      <x:c r="F28" s="239" t="str">
        <x:v>RFC 8348 and unrelated RFC 8259 JSON matched; selected other identifiers did not.</x:v>
      </x:c>
      <x:c r="G28" s="239" t="str">
        <x:v>Exact nonmatching candidates absent; JSON is not NISTIR 8259A.</x:v>
      </x:c>
      <x:c r="H28" s="239" t="str">
        <x:v>StandardsReport; source lines 2892 and 4447</x:v>
      </x:c>
      <x:c r="I28" s="239" t="str">
        <x:v>libfile_41ef1e7ddf5c81918c3b67fe0ceec449</x:v>
      </x:c>
    </x:row>
    <x:row r="29" ht="115" customHeight="1">
      <x:c r="A29" s="240" t="str">
        <x:v>L24</x:v>
      </x:c>
      <x:c r="B29" s="239" t="str">
        <x:v>2026-10-12</x:v>
      </x:c>
      <x:c r="C29" s="239" t="str">
        <x:v>Authoritative DISR baseline</x:v>
      </x:c>
      <x:c r="D29" s="239" t="str">
        <x:v>1451 | 21451 | MIMOSA | 62541 | PA-DIM | 63278</x:v>
      </x:c>
      <x:c r="E29" s="239" t="str">
        <x:v>Successful full-file search</x:v>
      </x:c>
      <x:c r="F29" s="239" t="str">
        <x:v>Retired IEEE 1451 entries; Emerging 21451:2010 parts; exact Mandated MIMOSA entries.</x:v>
      </x:c>
      <x:c r="G29" s="239" t="str">
        <x:v>Preserve exact editions and DoD/IC status; no family-wide transfer.</x:v>
      </x:c>
      <x:c r="H29" s="239" t="str">
        <x:v>StandardsReport; lines 1151–1156,2053–2055,3298,3309</x:v>
      </x:c>
      <x:c r="I29" s="239" t="str">
        <x:v>libfile_41ef1e7ddf5c81918c3b67fe0ceec449</x:v>
      </x:c>
    </x:row>
    <x:row r="30" ht="115" customHeight="1">
      <x:c r="A30" s="240" t="str">
        <x:v>L25</x:v>
      </x:c>
      <x:c r="B30" s="239" t="str">
        <x:v>2026-10-12</x:v>
      </x:c>
      <x:c r="C30" s="239" t="str">
        <x:v>Authoritative DISR baseline</x:v>
      </x:c>
      <x:c r="D30" s="239" t="str">
        <x:v>Sensor Network Reference Architecture | SNRA | 29182 | … | 8348</x:v>
      </x:c>
      <x:c r="E30" s="239" t="str">
        <x:v>Retrieval failed positive control</x:v>
      </x:c>
      <x:c r="F30" s="239" t="str">
        <x:v>No match returned even for previously confirmed RFC 8348.</x:v>
      </x:c>
      <x:c r="G30" s="239" t="str">
        <x:v>Do not use this failed follow-up to reverse L23/L24 or qualify the baseline.</x:v>
      </x:c>
      <x:c r="H30" s="239" t="str">
        <x:v>Subsequent alias request</x:v>
      </x:c>
      <x:c r="I30" s="239" t="str">
        <x:v>libfile_41ef1e7ddf5c81918c3b67fe0ceec449</x:v>
      </x:c>
    </x:row>
    <x:row r="31" ht="115" customHeight="1">
      <x:c r="A31" s="240" t="str">
        <x:v>L26</x:v>
      </x:c>
      <x:c r="B31" s="239" t="str">
        <x:v>2026-10-12</x:v>
      </x:c>
      <x:c r="C31" s="239" t="str">
        <x:v>UGS engineering papers</x:v>
      </x:c>
      <x:c r="D31" s="239" t="str">
        <x:v>Stolovy DOI 10.1117/12.822186; McQuiddy DOI 10.1117/12.784540</x:v>
      </x:c>
      <x:c r="E31" s="239" t="str">
        <x:v>Records/abstracts recovered; full text unavailable</x:v>
      </x:c>
      <x:c r="F31" s="239" t="str">
        <x:v>Exact papers and scope leads, S43/S44.</x:v>
      </x:c>
      <x:c r="G31" s="239" t="str">
        <x:v>No unseen architecture, CDIF content or present stewardship claim.</x:v>
      </x:c>
      <x:c r="H31" s="239" t="str">
        <x:v>Publisher indexes</x:v>
      </x:c>
      <x:c r="I31" s="239" t="str">
        <x:v>https://doi.org/10.1117/12.822186</x:v>
      </x:c>
    </x:row>
    <x:row r="32" ht="115" customHeight="1">
      <x:c r="A32" s="240" t="str">
        <x:v>L27</x:v>
      </x:c>
      <x:c r="B32" s="239" t="str">
        <x:v>2026-10-12</x:v>
      </x:c>
      <x:c r="C32" s="239" t="str">
        <x:v>OSUS thesis</x:v>
      </x:c>
      <x:c r="D32" s="239" t="str">
        <x:v>University of Dayton 7186 / OhioLINK dayton1678203076791428</x:v>
      </x:c>
      <x:c r="E32" s="239" t="str">
        <x:v>Record and abstract recovered; PDF unavailable</x:v>
      </x:c>
      <x:c r="F32" s="239" t="str">
        <x:v>Title/author and cross-domain thesis rationale.</x:v>
      </x:c>
      <x:c r="G32" s="239" t="str">
        <x:v>Do not describe thesis as read; S47 code is separate evidence.</x:v>
      </x:c>
      <x:c r="H32" s="239" t="str">
        <x:v>S45</x:v>
      </x:c>
      <x:c r="I32" s="239" t="str">
        <x:v>https://ecommons.udayton.edu/graduate_theses/7186/</x:v>
      </x:c>
    </x:row>
    <x:row r="33" ht="115" customHeight="1">
      <x:c r="A33" s="240" t="str">
        <x:v>L28</x:v>
      </x:c>
      <x:c r="B33" s="239" t="str">
        <x:v>2026-10-12</x:v>
      </x:c>
      <x:c r="C33" s="239" t="str">
        <x:v>OSUS-R reference implementation</x:v>
      </x:c>
      <x:c r="D33" s="239" t="str">
        <x:v>Asset.java; AssetCapabilities.xsd; README</x:v>
      </x:c>
      <x:c r="E33" s="239" t="str">
        <x:v>Selected pinned files inspected</x:v>
      </x:c>
      <x:c r="F33" s="239" t="str">
        <x:v>Whole physical-asset abstraction and capabilities/status; S47.</x:v>
      </x:c>
      <x:c r="G33" s="239" t="str">
        <x:v>No runtime execution, full-standard audit or vendor implementation claim.</x:v>
      </x:c>
      <x:c r="H33" s="239" t="str">
        <x:v>Commit d09088fbe56d4b64f0544d72e98c3cb70fa941f6</x:v>
      </x:c>
      <x:c r="I33" s="239" t="str">
        <x:v>https://github.com/ssg-udri/OSUS-R/blob/d09088fbe56d4b64f0544d72e98c3cb70fa941f6/mil.dod.th.core/src/mil/dod/th/core/asset/Asset.java</x:v>
      </x:c>
    </x:row>
    <x:row r="34" ht="115" customHeight="1">
      <x:c r="A34" s="240" t="str">
        <x:v>L29</x:v>
      </x:c>
      <x:c r="B34" s="239" t="str">
        <x:v>2026-10-12</x:v>
      </x:c>
      <x:c r="C34" s="239" t="str">
        <x:v>Industry category</x:v>
      </x:c>
      <x:c r="D34" s="239" t="str">
        <x:v>ISO/IEC 29182-4:2013 catalog and preview</x:v>
      </x:c>
      <x:c r="E34" s="239" t="str">
        <x:v>Published identity; partial primary text inspected</x:v>
      </x:c>
      <x:c r="F34" s="239" t="str">
        <x:v>Intro, §5, §6.1.1; figures/tables visually checked.</x:v>
      </x:c>
      <x:c r="G34" s="239" t="str">
        <x:v>Category and coverage conclusion only; later detailed clauses unread.</x:v>
      </x:c>
      <x:c r="H34" s="239" t="str">
        <x:v>S52</x:v>
      </x:c>
      <x:c r="I34" s="239" t="str">
        <x:v>https://www.iso.org/standard/57094.html</x:v>
      </x:c>
    </x:row>
    <x:row r="35" ht="115" customHeight="1">
      <x:c r="A35" s="240" t="str">
        <x:v>L30</x:v>
      </x:c>
      <x:c r="B35" s="239" t="str">
        <x:v>2026-10-12</x:v>
      </x:c>
      <x:c r="C35" s="239" t="str">
        <x:v>Whole-system and bridge evidence</x:v>
      </x:c>
      <x:c r="D35" s="239" t="str">
        <x:v>DSIAC survey; NIST IEEE1451/SWE paper</x:v>
      </x:c>
      <x:c r="E35" s="239" t="str">
        <x:v>Full PDFs recovered; selected substantive sections inspected</x:v>
      </x:c>
      <x:c r="F35" s="239" t="str">
        <x:v>UGS survey and concrete environmental bridge case.</x:v>
      </x:c>
      <x:c r="G35" s="239" t="str">
        <x:v>Historical evidence, not present product/CSAPI performance.</x:v>
      </x:c>
      <x:c r="H35" s="239" t="str">
        <x:v>S46/S48</x:v>
      </x:c>
      <x:c r="I35" s="239" t="str">
        <x:v>https://dsiac.dtic.mil/wp-content/uploads/2018/05/2165849_STI_Document.pdf</x:v>
      </x:c>
    </x:row>
    <x:row r="36" ht="115" customHeight="1">
      <x:c r="A36" s="240" t="str">
        <x:v>L31</x:v>
      </x:c>
      <x:c r="B36" s="239" t="str">
        <x:v>2026-10-12</x:v>
      </x:c>
      <x:c r="C36" s="239" t="str">
        <x:v>Archived acquisition lead</x:v>
      </x:c>
      <x:c r="D36" s="239" t="str">
        <x:v>MARKET-SURVEY-4459-1, 11 March 2009</x:v>
      </x:c>
      <x:c r="E36" s="239" t="str">
        <x:v>Archive retrieval unsuccessful in this increment</x:v>
      </x:c>
      <x:c r="F36" s="239" t="str">
        <x:v>Prior handoff lead retained, no newly inspected notice.</x:v>
      </x:c>
      <x:c r="G36" s="239" t="str">
        <x:v>Do not promote earlier TDP paraphrase to a newly verified finding.</x:v>
      </x:c>
      <x:c r="H36" s="239" t="str">
        <x:v>Army acquisition / web archive</x:v>
      </x:c>
      <x:c r="I36" s="239" t="str">
        <x:v>https://web.archive.org/web/20110717064159/https://www.fbo.gov/index?id=217b616273ad0eb5f442eb1637435908&amp;mode=form&amp;print_preview=1&amp;s=opportunity&amp;tab=core&amp;tabmode=list</x:v>
      </x:c>
    </x:row>
    <x:row r="37">
      <x:c r="A37" t="str">
        <x:v>L32</x:v>
      </x:c>
      <x:c r="B37" t="str">
        <x:v>2026-10-14</x:v>
      </x:c>
      <x:c r="C37" t="str">
        <x:v>Profile and binding follow-on</x:v>
      </x:c>
      <x:c r="D37" t="str">
        <x:v>RFC 2863 / 8343 / 8345 / 6906 / 3986 / 6901, OGC schema artifacts</x:v>
      </x:c>
      <x:c r="E37" t="str">
        <x:v>Compared in v0.3.1 and primer</x:v>
      </x:c>
      <x:c r="F37" t="str">
        <x:v>S53–S60</x:v>
      </x:c>
      <x:c r="G37" t="str">
        <x:v>Selected clauses and released schema carriers; no universal native mapping</x:v>
      </x:c>
      <x:c r="H37" t="str">
        <x:v>Main profile and primer</x:v>
      </x:c>
      <x:c r="I37" t="str">
        <x:v>Current profile/primer documents</x:v>
      </x:c>
    </x:row>
    <x:row r="38">
      <x:c r="A38" t="str">
        <x:v>L33</x:v>
      </x:c>
      <x:c r="B38" t="str">
        <x:v>2026-10-14</x:v>
      </x:c>
      <x:c r="C38" t="str">
        <x:v>Power Source research</x:v>
      </x:c>
      <x:c r="D38" t="str">
        <x:v>RFC 7460/7461; CIM; Redfish; OMA; related rights</x:v>
      </x:c>
      <x:c r="E38" t="str">
        <x:v>Completed bounded domain recommendation</x:v>
      </x:c>
      <x:c r="F38" t="str">
        <x:v>S61–S70</x:v>
      </x:c>
      <x:c r="G38" t="str">
        <x:v>Framework selected from comparison; other stacks not adopted</x:v>
      </x:c>
      <x:c r="H38" t="str">
        <x:v>Power model recommendation</x:v>
      </x:c>
      <x:c r="I38" t="str">
        <x:v>Power report v0.1</x:v>
      </x:c>
    </x:row>
    <x:row r="39">
      <x:c r="A39" t="str">
        <x:v>L34</x:v>
      </x:c>
      <x:c r="B39" t="str">
        <x:v>2026-10-14</x:v>
      </x:c>
      <x:c r="C39" t="str">
        <x:v>IEEE 1451/TEDS Pass 1A</x:v>
      </x:c>
      <x:c r="D39" t="str">
        <x:v>Current IEEE 1451.0-2024, ISO/IEC/IEEE 2145x 2010, TEDS Playground and NIST</x:v>
      </x:c>
      <x:c r="E39" t="str">
        <x:v>Public-source reconstruction; full sources blocked</x:v>
      </x:c>
      <x:c r="F39" t="str">
        <x:v>S71–S84</x:v>
      </x:c>
      <x:c r="G39" t="str">
        <x:v>Fields provisional; source licenses and clauses outstanding</x:v>
      </x:c>
      <x:c r="H39" t="str">
        <x:v>IEEE Pass 1A</x:v>
      </x:c>
      <x:c r="I39" t="str">
        <x:v>IEEE report v0.1</x:v>
      </x:c>
    </x:row>
    <x:row r="40">
      <x:c r="A40" t="str">
        <x:v>L35</x:v>
      </x:c>
      <x:c r="B40" t="str">
        <x:v>2026-10-14</x:v>
      </x:c>
      <x:c r="C40" t="str">
        <x:v>ISA 6.0 examination</x:v>
      </x:c>
      <x:c r="D40" t="str">
        <x:v>11 user-supplied Distribution A PDFs and Phase 2 conceptual validation</x:v>
      </x:c>
      <x:c r="E40" t="str">
        <x:v>Phase 2 technical review complete</x:v>
      </x:c>
      <x:c r="F40" t="str">
        <x:v>S85–S95</x:v>
      </x:c>
      <x:c r="G40" t="str">
        <x:v>Information reuse, not native ISA implementation</x:v>
      </x:c>
      <x:c r="H40" t="str">
        <x:v>ISA report and crosswalk</x:v>
      </x:c>
      <x:c r="I40" t="str">
        <x:v>ISA Phase 2 package</x:v>
      </x:c>
    </x:row>
    <x:row r="41">
      <x:c r="A41" t="str">
        <x:v>L36</x:v>
      </x:c>
      <x:c r="B41" t="str">
        <x:v>2026-10-14</x:v>
      </x:c>
      <x:c r="C41" t="str">
        <x:v>Foundation and observed variables</x:v>
      </x:c>
      <x:c r="D41" t="str">
        <x:v>W3C draft, OMS, I-ADOPT, QUDT, SWEET</x:v>
      </x:c>
      <x:c r="E41" t="str">
        <x:v>Bounded foundational assessment completed</x:v>
      </x:c>
      <x:c r="F41" t="str">
        <x:v>S97–S109</x:v>
      </x:c>
      <x:c r="G41" t="str">
        <x:v>No ontology stack; OMS full text and I-ADOPT roadmap gated</x:v>
      </x:c>
      <x:c r="H41" t="str">
        <x:v>Foundational assessment A-D</x:v>
      </x:c>
      <x:c r="I41" t="str">
        <x:v>Foundational review package</x:v>
      </x:c>
    </x:row>
  </x:sheetData>
  <x:mergeCells>
    <x:mergeCell ref="A1:I1"/>
    <x:mergeCell ref="A2:I3"/>
  </x:mergeCells>
  <x:pageMargins left="0.7" right="0.7" top="0.75" bottom="0.75" header="0.3" footer="0.3"/>
  <x:tableParts count="1">
    <x:tablePart xmlns:r="http://schemas.openxmlformats.org/officeDocument/2006/relationships" r:id="R3fa4cb0ad7734f81"/>
  </x:tableParts>
</x:worksheet>
</file>

<file path=xl/worksheets/sheet11.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11" hidden="0" customWidth="1"/>
    <x:col min="2" max="2" width="43" hidden="0" customWidth="1"/>
    <x:col min="3" max="3" width="45" hidden="0" customWidth="1"/>
    <x:col min="4" max="4" width="44" hidden="0" customWidth="1"/>
    <x:col min="5" max="5" width="60" hidden="0" customWidth="1"/>
    <x:col min="6" max="6" width="39" hidden="0" customWidth="1"/>
    <x:col min="7" max="7" width="47" hidden="0" customWidth="1"/>
    <x:col min="8" max="8" width="45" hidden="0" customWidth="1"/>
    <x:col min="9" max="9" width="54" hidden="0" customWidth="1"/>
  </x:cols>
  <x:sheetData>
    <x:row r="1" ht="30" customHeight="1">
      <x:c r="A1" s="95" t="str">
        <x:v>MERLIN | Research source register v0.10 | 22 October 2026</x:v>
      </x:c>
      <x:c r="B1" s="95"/>
      <x:c r="C1" s="95"/>
      <x:c r="D1" s="95"/>
      <x:c r="E1" s="95"/>
      <x:c r="F1" s="95"/>
      <x:c r="G1" s="95"/>
      <x:c r="H1" s="95"/>
      <x:c r="I1" s="95"/>
    </x:row>
    <x:row r="2" ht="30" customHeight="1">
      <x:c r="A2" s="98" t="str">
        <x:v>S01–S124 retained; S125–S140 added. Technical profile v0.3.5 unchanged. Read the OSCAR Summary and source-access boundaries.</x:v>
      </x:c>
      <x:c r="B2" s="98"/>
      <x:c r="C2" s="98"/>
      <x:c r="D2" s="98"/>
      <x:c r="E2" s="98"/>
      <x:c r="F2" s="98"/>
      <x:c r="G2" s="98"/>
      <x:c r="H2" s="98"/>
      <x:c r="I2" s="98"/>
    </x:row>
    <x:row r="3" ht="30" customHeight="1">
      <x:c r="A3" s="241" t="str">
        <x:v>v0.7 • Current family-level scope in the paper §1 and Family Applicability; source IDs remain stable.</x:v>
      </x:c>
      <x:c r="B3" s="241"/>
      <x:c r="C3" s="241"/>
      <x:c r="D3" s="241"/>
      <x:c r="E3" s="241"/>
      <x:c r="F3" s="241"/>
      <x:c r="G3" s="241"/>
      <x:c r="H3" s="241"/>
      <x:c r="I3" s="241"/>
    </x:row>
    <x:row r="4" ht="9" customHeight="1">
      <x:c r="A4" s="89"/>
      <x:c r="B4" s="89"/>
      <x:c r="C4" s="89"/>
      <x:c r="D4" s="89"/>
      <x:c r="E4" s="89"/>
      <x:c r="F4" s="89"/>
      <x:c r="G4" s="89"/>
      <x:c r="H4" s="89"/>
      <x:c r="I4" s="89"/>
    </x:row>
    <x:row r="5" ht="38" customHeight="1">
      <x:c r="A5" s="308" t="str">
        <x:v>ID</x:v>
      </x:c>
      <x:c r="B5" s="308" t="str">
        <x:v>Source / exact artifact</x:v>
      </x:c>
      <x:c r="C5" s="308" t="str">
        <x:v>Current disposition</x:v>
      </x:c>
      <x:c r="D5" s="308" t="str">
        <x:v>Implementation target</x:v>
      </x:c>
      <x:c r="E5" s="308" t="str">
        <x:v>Applicable requirements / dependencies</x:v>
      </x:c>
      <x:c r="F5" s="308" t="str">
        <x:v>Research boundary</x:v>
      </x:c>
      <x:c r="G5" s="308" t="str">
        <x:v>Meaning of the proposed implementation</x:v>
      </x:c>
      <x:c r="H5" s="308" t="str">
        <x:v>Remaining content question / disposition</x:v>
      </x:c>
      <x:c r="I5" s="308" t="str">
        <x:v>Source URL / locator</x:v>
      </x:c>
    </x:row>
    <x:row r="6" ht="140" hidden="0" customHeight="1">
      <x:c r="A6" s="309" t="str">
        <x:v>S01</x:v>
      </x:c>
      <x:c r="B6" s="310" t="str">
        <x:v>OGC SensorML Encoding Standard</x:v>
      </x:c>
      <x:c r="C6" s="310" t="str">
        <x:v>Native OGC descriptive baseline; approved refinements through v0.3.5. Later selected checks: §§8.8.1–8.8.2, Mode/DescribedObject/Settings and DerivedProperty schemas; see S59.</x:v>
      </x:c>
      <x:c r="D6" s="310" t="str">
        <x:v>SensorML 3.0 JSON documents and their producer/consumer</x:v>
      </x:c>
      <x:c r="E6" s="310" t="str">
        <x:v>§2; §9 /req/json-core and the applicable process/physical classes; inherited model and SWE dependencies; Annex A.3</x:v>
      </x:c>
      <x:c r="F6" s="310" t="str">
        <x:v>The named requirements delimit an eventual implementation claim. No test execution is part of this research increment.</x:v>
      </x:c>
      <x:c r="G6" s="310" t="str">
        <x:v>The proposed native implementation is SensorML 3.0 document production and consumption, not merely similar-looking JSON. For a physical-system case, identify /req/json-physical-system, its inherited classes and SWE dependencies, and the applicable Annex A assessments. Passing one document schema is narrower than demonstrating software or model conformance; no such complete assessment has run here (Open Geospatial Consortium 2025c, §2, §9, annex A.3).</x:v>
      </x:c>
      <x:c r="H6" s="310" t="str">
        <x:v>Current paper §1 and Family Applicability govern scope; old case-specific exclusions are historical.</x:v>
      </x:c>
      <x:c r="I6" s="310" t="str">
        <x:v>https://docs.ogc.org/is/23-000/23-000.html</x:v>
      </x:c>
    </x:row>
    <x:row r="7" ht="127" hidden="0" customHeight="1">
      <x:c r="A7" s="312" t="str">
        <x:v>S02</x:v>
      </x:c>
      <x:c r="B7" s="313" t="str">
        <x:v>OGC SWE Common Data Model Encoding Standard</x:v>
      </x:c>
      <x:c r="C7" s="313" t="str">
        <x:v>Native OGC value/encoding baseline; bounded unit/nil interpretation applied in v0.3.5. Later selected checks §§8.2.16/9.1.15 and supporting Quantity/basicTypes schemas S123.</x:v>
      </x:c>
      <x:c r="D7" s="313" t="str">
        <x:v>SWE Common 3.0 components and selected data encodings</x:v>
      </x:c>
      <x:c r="E7" s="313" t="str">
        <x:v>§9 component classes; /req/json-simple-components/definition-resolvable; inline constraints; SensorML dependency on /req/json-block-components</x:v>
      </x:c>
      <x:c r="F7" s="313" t="str">
        <x:v>The named requirements delimit an eventual implementation claim. No test execution is part of this research increment.</x:v>
      </x:c>
      <x:c r="G7" s="313" t="str">
        <x:v>The target is the actual SWE component or encoding contract used by the OGC implementation. Assessment must cover the selected classes, inherited dependencies, semantic-definition obligations and value constraints, not only field datatypes. SensorML’s declared block-component dependency cannot be silently replaced by a handpicked simple-field subset because the first example is small (Open Geospatial Consortium 2025d, §9; 2025c, §9.1.1).</x:v>
      </x:c>
      <x:c r="H7" s="313" t="str">
        <x:v>Use the subject-level shortlist in OGC Comparison; identify relevant content and remaining authored work.</x:v>
      </x:c>
      <x:c r="I7" s="313" t="str">
        <x:v>https://docs.ogc.org/is/24-014/24-014.html</x:v>
      </x:c>
    </x:row>
    <x:row r="8" ht="127" hidden="0" customHeight="1">
      <x:c r="A8" s="309" t="str">
        <x:v>S03</x:v>
      </x:c>
      <x:c r="B8" s="310" t="str">
        <x:v>OGC API – Connected Systems – Part 1: Feature Resources</x:v>
      </x:c>
      <x:c r="C8" s="310" t="str">
        <x:v>Native OGC resource foundation; R01/R02/R11 clarifications applied. Later selected checks §§14–15 and §19 sampling/property encodings; supporting schema S121.</x:v>
      </x:c>
      <x:c r="D8" s="310" t="str">
        <x:v>CSAPI Part 1 Web API and its SensorML representations</x:v>
      </x:c>
      <x:c r="E8" s="310" t="str">
        <x:v>/req/api-common; /req/system-features; /req/sensorml; optional /req/subsystems only when selected; prerequisites and conditional requirements</x:v>
      </x:c>
      <x:c r="F8" s="310" t="str">
        <x:v>The named requirements delimit an eventual implementation claim. No test execution is part of this research increment.</x:v>
      </x:c>
      <x:c r="G8" s="310" t="str">
        <x:v>CSAPI Part 1 is the proposed native resource API, including the selected resource and encoding capabilities. Any domain agreement must preserve the meanings of Systems, Procedures and Deployments rather than reuse their names for unrelated external classes. The prior dependency discrepancy remains historical research evidence; it does not gate the present content comparison (Open Geospatial Consortium 2025a, §§1–2, 10–11, 19).</x:v>
      </x:c>
      <x:c r="H8" s="310" t="str">
        <x:v>Current paper §1 and Family Applicability govern scope; old case-specific exclusions are historical.</x:v>
      </x:c>
      <x:c r="I8" s="310" t="str">
        <x:v>https://docs.ogc.org/is/23-001/23-001.html</x:v>
      </x:c>
    </x:row>
    <x:row r="9" ht="114" hidden="0" customHeight="1">
      <x:c r="A9" s="312" t="str">
        <x:v>S04</x:v>
      </x:c>
      <x:c r="B9" s="313" t="str">
        <x:v>OGC API – Connected Systems – Part 2: Dynamic Data</x:v>
      </x:c>
      <x:c r="C9" s="313" t="str">
        <x:v>Native OGC dynamic-data/control foundation; R10/R11/R12/R20 refinements applied. Later selected checks §9.2/9.7 and §10; supporting DataStream/Observation schemas S122; no full validation claim.</x:v>
      </x:c>
      <x:c r="D9" s="313" t="str">
        <x:v>CSAPI Part 2 Web API for selected resource types and encodings</x:v>
      </x:c>
      <x:c r="E9" s="313" t="str">
        <x:v>§2; relevant Datastream/Observation or ControlStream/Command classes, encoding classes and dependencies</x:v>
      </x:c>
      <x:c r="F9" s="313" t="str">
        <x:v>The named requirements delimit an eventual implementation claim. No test execution is part of this research increment.</x:v>
      </x:c>
      <x:c r="G9" s="313" t="str">
        <x:v>Part 2 remains a native implementation candidate for dynamic-data tasks, not a requirement to implement every command capability. Its §2 requires a resource-type and encoding selection with relevant conformance assessment. The present identity-and-names study does not exercise those API contracts and supports no new Part 2 conformance claim (Open Geospatial Consortium 2025b, §2, annex A).</x:v>
      </x:c>
      <x:c r="H9" s="313" t="str">
        <x:v>Use the subject-level shortlist in OGC Comparison; identify relevant content and remaining authored work.</x:v>
      </x:c>
      <x:c r="I9" s="313" t="str">
        <x:v>https://docs.ogc.org/is/23-002/23-002.html</x:v>
      </x:c>
    </x:row>
    <x:row r="10" ht="140" hidden="0" customHeight="1">
      <x:c r="A10" s="309" t="str">
        <x:v>S05</x:v>
      </x:c>
      <x:c r="B10" s="310" t="str">
        <x:v>OPC Unified Architecture – Part 100: Devices</x:v>
      </x:c>
      <x:c r="C10" s="310" t="str">
        <x:v>Conditional native-source comparator; no preferred architecture</x:v>
      </x:c>
      <x:c r="D10" s="310" t="str">
        <x:v>No native OPC component selected; possible future OPC-facing bridge</x:v>
      </x:c>
      <x:c r="E10" s="310" t="str">
        <x:v>Devices §11 profiles/ConformanceUnits; Part 7 §4 profile and mandatory-unit obligations</x:v>
      </x:c>
      <x:c r="F10" s="310" t="str">
        <x:v>The named requirements delimit an eventual implementation claim. No test execution is part of this research increment.</x:v>
      </x:c>
      <x:c r="G10" s="310" t="str">
        <x:v>The present proposal borrows a composition precedent; it does not implement OPC UA Devices. A native alternative would identify an OPC-facing component, the applicable Devices profile and ConformanceUnits, and their dependencies before testing. A CSAPI bridge would additionally need its own OGC-side and transformation assessments; copying Devices concepts into SensorML satisfies neither side by itself (OPC Foundation 2025, §11, annex C; n.d., Part 7, §4).</x:v>
      </x:c>
      <x:c r="H10" s="310" t="str">
        <x:v>Use the subject-level shortlist in OGC Comparison; identify relevant content and remaining authored work.</x:v>
      </x:c>
      <x:c r="I10" s="310" t="str">
        <x:v>https://reference.opcfoundation.org/specs/OPC-10000-100/v1.05.0</x:v>
      </x:c>
    </x:row>
    <x:row r="11" ht="140" hidden="0" customHeight="1">
      <x:c r="A11" s="312" t="str">
        <x:v>S06</x:v>
      </x:c>
      <x:c r="B11" s="313" t="str">
        <x:v>OPC UA for Process Automation Devices – PA-DIM</x:v>
      </x:c>
      <x:c r="C11" s="313" t="str">
        <x:v>Conditional process-device / PA-DIM partner comparator</x:v>
      </x:c>
      <x:c r="D11" s="313" t="str">
        <x:v>Possible PA-DIM information model in an OPC implementation</x:v>
      </x:c>
      <x:c r="E11" s="313" t="str">
        <x:v>PA-DIM 1.02.0 scope, PADIMType mandatory/optional declarations and inherited Devices obligations</x:v>
      </x:c>
      <x:c r="F11" s="313" t="str">
        <x:v>The named requirements delimit an eventual implementation claim. No test execution is part of this research increment.</x:v>
      </x:c>
      <x:c r="G11" s="313" t="str">
        <x:v>PA-DIM is not presently proposed as a native implementation. A valid proposal would name the implemented PA-DIM type/profile, applicable mandatory declarations, inherited Devices requirements and corresponding assessments. A selected-property OGC translation would instead be a newly authored mapping, with its own coverage and loss statements, even when individual definitions are preserved accurately (OPC Foundation and FieldComm Group 2025, §§1, 7.2).</x:v>
      </x:c>
      <x:c r="H11" s="313" t="str">
        <x:v>Use the subject-level shortlist in OGC Comparison; identify relevant content and remaining authored work.</x:v>
      </x:c>
      <x:c r="I11" s="313" t="str">
        <x:v>https://reference.opcfoundation.org/specs/OPC-30081</x:v>
      </x:c>
    </x:row>
    <x:row r="12" ht="140" hidden="0" customHeight="1">
      <x:c r="A12" s="309" t="str">
        <x:v>S07</x:v>
      </x:c>
      <x:c r="B12" s="310" t="str">
        <x:v>Specification of the Asset Administration Shell – Part 1: Metamodel</x:v>
      </x:c>
      <x:c r="C12" s="310" t="str">
        <x:v>Metamodel context; specific templates assessed in S36–S39</x:v>
      </x:c>
      <x:c r="D12" s="310" t="str">
        <x:v>Potential AAS instance conforming to an exact metamodel and selected submodel template</x:v>
      </x:c>
      <x:c r="E12" s="310" t="str">
        <x:v>AAS metamodel 3.2 constraints plus exact template/serialization obligations; API obligations only if that API is implemented</x:v>
      </x:c>
      <x:c r="F12" s="310" t="str">
        <x:v>The named requirements delimit an eventual implementation claim. No test execution is part of this research increment.</x:v>
      </x:c>
      <x:c r="G12" s="310" t="str">
        <x:v>A native AAS proposal would identify an AAS artifact, the applicable metamodel/serialization and the selected template. A file-based artifact is possible for the examined templates; some interactive features require the separately specified API form. A SensorML description merely organized like an AAS submodel would instead be a new mapping or design borrowing, not native AAS implementation (Industrial Digital Twin Association 2026a, §1.5; 2024, §1.5.1).</x:v>
      </x:c>
      <x:c r="H12" s="310" t="str">
        <x:v>Use the subject-level shortlist in OGC Comparison; identify relevant content and remaining authored work.</x:v>
      </x:c>
      <x:c r="I12" s="310" t="str">
        <x:v>https://industrialdigitaltwin.io/aas-specifications/IDTA-01001/v3.2/index.html</x:v>
      </x:c>
    </x:row>
    <x:row r="13" ht="127" hidden="0" customHeight="1">
      <x:c r="A13" s="312" t="str">
        <x:v>S08</x:v>
      </x:c>
      <x:c r="B13" s="313" t="str">
        <x:v>A YANG Data Model for Hardware Management</x:v>
      </x:c>
      <x:c r="C13" s="313" t="str">
        <x:v>Hardware-management content comparator within the broader family</x:v>
      </x:c>
      <x:c r="D13" s="313" t="str">
        <x:v>Hardware-management server/data implementing ietf-hardware@2018-03-13</x:v>
      </x:c>
      <x:c r="E13" s="313" t="str">
        <x:v>RFC 8348 §§3–7; imported YANG modules, selected features, NMDA behavior; conditional ENTITY-MIB mapping obligations</x:v>
      </x:c>
      <x:c r="F13" s="313" t="str">
        <x:v>The named requirements delimit an eventual implementation claim. No test execution is part of this research increment.</x:v>
      </x:c>
      <x:c r="G13" s="313" t="str">
        <x:v>RFC 8348 supplies a concrete candidate contract: the ietf-hardware module and its specified management behavior. A native implementation must assess the module, imported dependencies, selected features and applicable mapping rules. Under a SensorML-only path it would instead supply donor semantics to a new mapping, not become an implemented YANG management standard (Internet Engineering Task Force 2018, §§3–7).</x:v>
      </x:c>
      <x:c r="H13" s="313" t="str">
        <x:v>Current paper §1 and Family Applicability govern scope; old case-specific exclusions are historical.</x:v>
      </x:c>
      <x:c r="I13" s="313" t="str">
        <x:v>https://www.rfc-editor.org/rfc/rfc8348.html</x:v>
      </x:c>
    </x:row>
    <x:row r="14" ht="140" hidden="0" customHeight="1">
      <x:c r="A14" s="309" t="str">
        <x:v>S09</x:v>
      </x:c>
      <x:c r="B14" s="310" t="str">
        <x:v>Definition of Managed Objects for Battery Monitoring</x:v>
      </x:c>
      <x:c r="C14" s="310" t="str">
        <x:v>Selected battery semantic donor; one field-conversion example applied, not native BATTERY-MIB implementation. RFC 7577 §5 batteryActualVoltage: millivolts and 0xFFFFFFFF undetermined; v0.3.5 auxiliary example.</x:v>
      </x:c>
      <x:c r="D14" s="310" t="str">
        <x:v>Possible native BATTERY-MIB agent/manager if later selected</x:v>
      </x:c>
      <x:c r="E14" s="310" t="str">
        <x:v>RFC 7577 managed-object definitions and module compliance obligations in their SNMP management context</x:v>
      </x:c>
      <x:c r="F14" s="310" t="str">
        <x:v>The named requirements delimit an eventual implementation claim. No test execution is part of this research increment.</x:v>
      </x:c>
      <x:c r="G14" s="310" t="str">
        <x:v>The currently contemplated use is reference to precisely defined battery quantities, not implementation of the Battery MIB. A native claim would concern an agent or manager satisfying the applicable managed-object and compliance obligations. A SWE representation of one quantity is an OGC-side implementation with a separately justified semantic mapping, not evidence of SNMP/MIB implementation (Internet Engineering Task Force 2015, scope and BATTERY-MIB module).</x:v>
      </x:c>
      <x:c r="H14" s="310" t="str">
        <x:v>Use the subject-level shortlist in OGC Comparison; identify relevant content and remaining authored work.</x:v>
      </x:c>
      <x:c r="I14" s="310" t="str">
        <x:v>https://www.rfc-editor.org/rfc/rfc7577.html</x:v>
      </x:c>
    </x:row>
    <x:row r="15" ht="127" hidden="0" customHeight="1">
      <x:c r="A15" s="312" t="str">
        <x:v>S10</x:v>
      </x:c>
      <x:c r="B15" s="313" t="str">
        <x:v>Energy Management Framework</x:v>
      </x:c>
      <x:c r="C15" s="313" t="str">
        <x:v>R16 typed powers/meters/aggregates applied in v0.3.2 as MERLIN-authored OGC binding. Detailed batteries/interfaces/charging and full operating-arrangement specialization remain open.</x:v>
      </x:c>
      <x:c r="D15" s="313" t="str">
        <x:v>No implementation target for this framework alone</x:v>
      </x:c>
      <x:c r="E15" s="313" t="str">
        <x:v>RFC 7326 framework and relationship definitions; separately selected implementing specifications would supply native obligations</x:v>
      </x:c>
      <x:c r="F15" s="313" t="str">
        <x:v>The named requirements delimit an eventual implementation claim. No test execution is part of this research increment.</x:v>
      </x:c>
      <x:c r="G15" s="313" t="str">
        <x:v>This framework is presently an interpretive source, not a selected implementation contract. A relationship borrowed from it needs a documented OGC binding and a semantic review; the framework alone does not establish a native protocol implementation. Any later management proposal must identify its actual implementing specifications and their assessable obligations (Internet Engineering Task Force 2014, framework and relationship sections).</x:v>
      </x:c>
      <x:c r="H15" s="313" t="str">
        <x:v>Current paper §1 and Family Applicability govern scope; old case-specific exclusions are historical.</x:v>
      </x:c>
      <x:c r="I15" s="313" t="str">
        <x:v>https://www.rfc-editor.org/rfc/rfc7326.html</x:v>
      </x:c>
    </x:row>
    <x:row r="16" ht="127" hidden="0" customHeight="1">
      <x:c r="A16" s="309" t="str">
        <x:v>S11</x:v>
      </x:c>
      <x:c r="B16" s="310" t="str">
        <x:v>Web of Things (WoT) Architecture 1.1</x:v>
      </x:c>
      <x:c r="C16" s="310" t="str">
        <x:v>Architecture comparator; no additional WoT layer selected</x:v>
      </x:c>
      <x:c r="D16" s="310" t="str">
        <x:v>No WoT Thing Description or protocol profile selected</x:v>
      </x:c>
      <x:c r="E16" s="310" t="str">
        <x:v>WoT Architecture 1.1 statements do not substitute for a selected Thing Description/binding/profile contract</x:v>
      </x:c>
      <x:c r="F16" s="310" t="str">
        <x:v>The named requirements delimit an eventual implementation claim. No test execution is part of this research increment.</x:v>
      </x:c>
      <x:c r="G16" s="310" t="str">
        <x:v>WoT Architecture remains background for separating interaction descriptions from domain vocabulary. The research has not selected a Thing Description implementation, binding or profile, so it cannot claim a native WoT implementation. Such a proposal would require the corresponding normative artifact and its requirements, rather than conformance inferred from this architecture discussion (World Wide Web Consortium 2023, §§6–7).</x:v>
      </x:c>
      <x:c r="H16" s="310" t="str">
        <x:v>Use the subject-level shortlist in OGC Comparison; identify relevant content and remaining authored work.</x:v>
      </x:c>
      <x:c r="I16" s="310" t="str">
        <x:v>https://www.w3.org/TR/2023/REC-wot-architecture11-20231205/</x:v>
      </x:c>
    </x:row>
    <x:row r="17" ht="127" hidden="0" customHeight="1">
      <x:c r="A17" s="312" t="str">
        <x:v>S12</x:v>
      </x:c>
      <x:c r="B17" s="313" t="str">
        <x:v>SAREF: The Smart Applications REFerence Ontology</x:v>
      </x:c>
      <x:c r="C17" s="313" t="str">
        <x:v>Targeted semantic comparator; no wholesale ontology adoption</x:v>
      </x:c>
      <x:c r="D17" s="313" t="str">
        <x:v>Potential assertions using identified SAREF 4.1.1 terms</x:v>
      </x:c>
      <x:c r="E17" s="313" t="str">
        <x:v>Exact term definitions, axioms and specialization/alignment rules of the selected ontology module</x:v>
      </x:c>
      <x:c r="F17" s="313" t="str">
        <x:v>The named requirements delimit an eventual implementation claim. No test execution is part of this research increment.</x:v>
      </x:c>
      <x:c r="G17" s="313" t="str">
        <x:v>SAREF’s possible target is an assertion/model using specified terms and axioms, not necessarily a protocol conformance class. The proposed use must identify those assertions and assess semantic consistency; a shape or closed-world validation contract would be additional work unless supplied by the selected source. No such alignment has been adopted for MERLIN (European Telecommunications Standards Institute 2024, SAREF Core 4.1.1).</x:v>
      </x:c>
      <x:c r="H17" s="313" t="str">
        <x:v>Use the subject-level shortlist in OGC Comparison; identify relevant content and remaining authored work.</x:v>
      </x:c>
      <x:c r="I17" s="313" t="str">
        <x:v>https://saref.etsi.org/core/v4.1.1/</x:v>
      </x:c>
    </x:row>
    <x:row r="18" ht="140" hidden="0" customHeight="1">
      <x:c r="A18" s="309" t="str">
        <x:v>S13</x:v>
      </x:c>
      <x:c r="B18" s="310" t="str">
        <x:v>Semantic Sensor Network Ontology</x:v>
      </x:c>
      <x:c r="C18" s="310" t="str">
        <x:v>OGC semantic foundation; pinned 2017 background</x:v>
      </x:c>
      <x:c r="D18" s="310" t="str">
        <x:v>Assertions aligned with the inspected 2017 SOSA/SSN modules</x:v>
      </x:c>
      <x:c r="E18" s="310" t="str">
        <x:v>Module-specific class/property meanings and axioms; CSAPI alignment must respect its own required types</x:v>
      </x:c>
      <x:c r="F18" s="310" t="str">
        <x:v>The named requirements delimit an eventual implementation claim. No test execution is part of this research increment.</x:v>
      </x:c>
      <x:c r="G18" s="310" t="str">
        <x:v>The possible implementation claim concerns use of specific SOSA/SSN semantics, not a native sensor-management protocol. The research must identify the module and assertions being relied upon and assess their meanings and applicable axioms. An OGC JSON representation is not automatically an RDF implementation, and a separate validation shape must not be attributed to the ontology without evidence (World Wide Web Consortium 2017, module and term definitions).</x:v>
      </x:c>
      <x:c r="H18" s="310" t="str">
        <x:v>Use the subject-level shortlist in OGC Comparison; identify relevant content and remaining authored work.</x:v>
      </x:c>
      <x:c r="I18" s="310" t="str">
        <x:v>https://www.w3.org/TR/2017/REC-vocab-ssn-20171019/</x:v>
      </x:c>
    </x:row>
    <x:row r="19" ht="140" hidden="0" customHeight="1">
      <x:c r="A19" s="312" t="str">
        <x:v>S14</x:v>
      </x:c>
      <x:c r="B19" s="313" t="str">
        <x:v>The Unified Code for Units of Measure</x:v>
      </x:c>
      <x:c r="C19" s="313" t="str">
        <x:v>Unit convention; exact OGC dependency retained</x:v>
      </x:c>
      <x:c r="D19" s="313" t="str">
        <x:v>Unit strings and unit-processing behavior in the selected OGC implementation</x:v>
      </x:c>
      <x:c r="E19" s="313" t="str">
        <x:v>UCUM syntax/semantics for the declared edition; SensorML 3.0 cites UCUM 2.1 while this entry inspected 2.2</x:v>
      </x:c>
      <x:c r="F19" s="313" t="str">
        <x:v>The named requirements delimit an eventual implementation claim. No test execution is part of this research increment.</x:v>
      </x:c>
      <x:c r="G19" s="313" t="str">
        <x:v>UCUM can be a genuine implementation dependency because encoded unit strings and processing have defined syntax and meaning. The assessment must identify the edition and the operations actually supported, rather than treat a familiar display abbreviation as a valid code. The 2.1 reference in SensorML and the inspected 2.2 text remain an explicit dependency question, not proof that either is unsuitable (Schadow and McDonald 2024; Open Geospatial Consortium 2025c, §3).</x:v>
      </x:c>
      <x:c r="H19" s="313" t="str">
        <x:v>Use the subject-level shortlist in OGC Comparison; identify relevant content and remaining authored work.</x:v>
      </x:c>
      <x:c r="I19" s="313" t="str">
        <x:v>https://ucum.org/ucum</x:v>
      </x:c>
    </x:row>
    <x:row r="20" ht="114" hidden="0" customHeight="1">
      <x:c r="A20" s="309" t="str">
        <x:v>S15</x:v>
      </x:c>
      <x:c r="B20" s="310" t="str">
        <x:v>Voltage</x:v>
      </x:c>
      <x:c r="C20" s="310" t="str">
        <x:v>Quantity-kind reference, not a device model</x:v>
      </x:c>
      <x:c r="D20" s="310" t="str">
        <x:v>An exact Voltage quantity-kind reference</x:v>
      </x:c>
      <x:c r="E20" s="310" t="str">
        <x:v>The referenced term meaning and the receiving SWE/OGC representation requirements</x:v>
      </x:c>
      <x:c r="F20" s="310" t="str">
        <x:v>The named requirements delimit an eventual implementation claim. No test execution is part of this research increment.</x:v>
      </x:c>
      <x:c r="G20" s="310" t="str">
        <x:v>The proposed use is a specific quantity-kind definition, not implementation of a complete device standard. Correct use requires the value to mean the referenced quantity and the receiving OGC representation to satisfy its own requirements. Broader QUDT conformance or model-coverage claims would exceed the inspected term-level evidence (QUDT.org n.d., “Voltage”).</x:v>
      </x:c>
      <x:c r="H20" s="310" t="str">
        <x:v>Use the subject-level shortlist in OGC Comparison; identify relevant content and remaining authored work.</x:v>
      </x:c>
      <x:c r="I20" s="310" t="str">
        <x:v>https://qudt.org/vocab/quantitykind/Voltage</x:v>
      </x:c>
    </x:row>
    <x:row r="21" ht="127" hidden="0" customHeight="1">
      <x:c r="A21" s="312" t="str">
        <x:v>S16</x:v>
      </x:c>
      <x:c r="B21" s="313" t="str">
        <x:v>MIMOSA OSA-EAI</x:v>
      </x:c>
      <x:c r="C21" s="313" t="str">
        <x:v>Whole-system lifecycle content comparator; exact edition remains unresolved</x:v>
      </x:c>
      <x:c r="D21" s="313" t="str">
        <x:v>Exact OSA-EAI 3.2.3a exchange/model implementation, if selected</x:v>
      </x:c>
      <x:c r="E21" s="313" t="str">
        <x:v>Applicable versioned normative schema, exchange and semantic requirements; overview does not enumerate them</x:v>
      </x:c>
      <x:c r="F21" s="313" t="str">
        <x:v>The named requirements delimit an eventual implementation claim. No test execution is part of this research increment.</x:v>
      </x:c>
      <x:c r="G21" s="313" t="str">
        <x:v>Keep OSA-EAI as a shortlisted lifecycle family, not an achieved native implementation. A native exchange would retain the selected edition’s information and exchange requirements; a CCOM-derived OGC representation would be a newly authored mapping unless a valid alternate realization is established. The inspected RC1 diagrams do not establish OSA-EAI 3.2.3a conformance, and no testing campaign is needed to state that boundary.</x:v>
      </x:c>
      <x:c r="H21" s="313" t="str">
        <x:v>Current paper §1 and Family Applicability govern scope; old case-specific exclusions are historical.</x:v>
      </x:c>
      <x:c r="I21" s="313" t="str">
        <x:v>https://www.mimosa.org/mimosa-osa-eai/</x:v>
      </x:c>
    </x:row>
    <x:row r="22" ht="127" hidden="0" customHeight="1">
      <x:c r="A22" s="309" t="str">
        <x:v>S17</x:v>
      </x:c>
      <x:c r="B22" s="310" t="str">
        <x:v>MIMOSA OSA-CBM</x:v>
      </x:c>
      <x:c r="C22" s="310" t="str">
        <x:v>Conditional assessment/maintenance exchange candidate</x:v>
      </x:c>
      <x:c r="D22" s="310" t="str">
        <x:v>Exact OSA-CBM 3.3.1 functional/interface implementation, if selected</x:v>
      </x:c>
      <x:c r="E22" s="310" t="str">
        <x:v>Applicable versioned interfaces, information structures and behavior; scope not established from overview alone</x:v>
      </x:c>
      <x:c r="F22" s="310" t="str">
        <x:v>The named requirements delimit an eventual implementation claim. No test execution is part of this research increment.</x:v>
      </x:c>
      <x:c r="G22" s="310" t="str">
        <x:v>The present disposition is conditional on an actual maintenance or assessment use, not a generic Status view. Implementing a selected information/interface contract would be different from merely displaying a fault flag, and a technology-neutral realization would need to preserve the source model rather than its labels alone. The exact 3.3.1 package remains an edition-specific evidence limit, not a reason to suspend the broader comparison.</x:v>
      </x:c>
      <x:c r="H22" s="310" t="str">
        <x:v>Use the subject-level shortlist in OGC Comparison; identify relevant content and remaining authored work.</x:v>
      </x:c>
      <x:c r="I22" s="310" t="str">
        <x:v>https://www.mimosa.org/mimosa-osa-cbm/</x:v>
      </x:c>
    </x:row>
    <x:row r="23" ht="114" hidden="0" customHeight="1">
      <x:c r="A23" s="312" t="str">
        <x:v>S18</x:v>
      </x:c>
      <x:c r="B23" s="313" t="str">
        <x:v>OIIE Scenario 11 – Publish Asset Removal/Installation Events from MMS to O&amp;M</x:v>
      </x:c>
      <x:c r="C23" s="313" t="str">
        <x:v>Installation/removal pattern; no native OIIE exchange selected</x:v>
      </x:c>
      <x:c r="D23" s="313" t="str">
        <x:v>No native OIIE exchange selected</x:v>
      </x:c>
      <x:c r="E23" s="313" t="str">
        <x:v>Scenario participants/events; exact implementing package and messages would need separate identification</x:v>
      </x:c>
      <x:c r="F23" s="313" t="str">
        <x:v>The named requirements delimit an eventual implementation claim. No test execution is part of this research increment.</x:v>
      </x:c>
      <x:c r="G23" s="313" t="str">
        <x:v>The scenario is currently evidence for an event pattern, not an implemented exchange. A native claim would require the actual versioned messages, participants and interaction obligations that realize the scenario. Representing a source installation event in SensorML would instead be an OGC-side design whose meaning and losses must be reviewed separately (MIMOSA n.d.-e, Scenario 11).</x:v>
      </x:c>
      <x:c r="H23" s="313" t="str">
        <x:v>Use the subject-level shortlist in OGC Comparison; identify relevant content and remaining authored work.</x:v>
      </x:c>
      <x:c r="I23" s="313" t="str">
        <x:v>https://www.mimosa.org/open-industrial-interoperability-ecosystem-oiie/oiie-use-cases/oiie-scenario-11-publish-asset-removalinstallation-events-from-mms-to-om/</x:v>
      </x:c>
    </x:row>
    <x:row r="24" ht="101" hidden="0" customHeight="1">
      <x:c r="A24" s="309" t="str">
        <x:v>S19</x:v>
      </x:c>
      <x:c r="B24" s="310" t="str">
        <x:v>MIP Information Model 4.0 – Semantic Interoperability in Multinational Missions</x:v>
      </x:c>
      <x:c r="C24" s="310" t="str">
        <x:v>Separate operational-semantic lane; not an equipment parent</x:v>
      </x:c>
      <x:c r="D24" s="310" t="str">
        <x:v>No implementable MIM release selected through this paper</x:v>
      </x:c>
      <x:c r="E24" s="310" t="str">
        <x:v>Paper supplies design/tailoring context, not the complete authoritative release contract</x:v>
      </x:c>
      <x:c r="F24" s="310" t="str">
        <x:v>The named requirements delimit an eventual implementation claim. No test execution is part of this research increment.</x:v>
      </x:c>
      <x:c r="G24" s="310" t="str">
        <x:v>This paper is not the normative artifact that MERLIN would implement. A genuine MIM proposal would name an authoritative release and its applicable tailoring, consistency and exchange obligations. Borrowing an operational concept from the paper supports only a research-informed mapping, not MIM or JC3IEDM conformance (Gerz and Bau 2016).</x:v>
      </x:c>
      <x:c r="H24" s="310" t="str">
        <x:v>Use the subject-level shortlist in OGC Comparison; identify relevant content and remaining authored work.</x:v>
      </x:c>
      <x:c r="I24" s="310" t="str">
        <x:v>https://dodccrp-testorg.squarespace.com/s/paper_51.pdf</x:v>
      </x:c>
    </x:row>
    <x:row r="25" ht="127" hidden="0" customHeight="1">
      <x:c r="A25" s="312" t="str">
        <x:v>S20</x:v>
      </x:c>
      <x:c r="B25" s="313" t="str">
        <x:v>Semantically Enhancing SensorML with Controlled Vocabularies in the Marine Domain</x:v>
      </x:c>
      <x:c r="C25" s="313" t="str">
        <x:v>Historical evidence for coordinated OGC content</x:v>
      </x:c>
      <x:c r="D25" s="313" t="str">
        <x:v>No new runtime or profile implementation selected</x:v>
      </x:c>
      <x:c r="E25" s="313" t="str">
        <x:v>Paper’s documented community work; authoritative profile artifacts must supply any adopted rules</x:v>
      </x:c>
      <x:c r="F25" s="313" t="str">
        <x:v>The named requirements delimit an eventual implementation claim. No test execution is part of this research increment.</x:v>
      </x:c>
      <x:c r="G25" s="313" t="str">
        <x:v>The paper informs how a community coordinated semantics, but it is not the implementation contract proposed for MERLIN. Any reusable rule must be recovered from its authoritative artifact, checked against the current OGC requirements and justified by our task. The present claim is methodological learning, not implementation of the marine community’s historical profile (Kokkinaki et al. 2016).</x:v>
      </x:c>
      <x:c r="H25" s="313" t="str">
        <x:v>Use the subject-level shortlist in OGC Comparison; identify relevant content and remaining authored work.</x:v>
      </x:c>
      <x:c r="I25" s="313" t="str">
        <x:v>https://ceur-ws.org/Vol-1762/Kokkinaki.pdf</x:v>
      </x:c>
    </x:row>
    <x:row r="26" ht="127" hidden="0" customHeight="1">
      <x:c r="A26" s="309" t="str">
        <x:v>S21</x:v>
      </x:c>
      <x:c r="B26" s="310" t="str">
        <x:v>Marine Profiles of the OGC Sensor Web Enablement Standards</x:v>
      </x:c>
      <x:c r="C26" s="310" t="str">
        <x:v>Priority OGC content-agreement precedent</x:v>
      </x:c>
      <x:c r="D26" s="310" t="str">
        <x:v>No marine service/document profile selected for implementation</x:v>
      </x:c>
      <x:c r="E26" s="310" t="str">
        <x:v>Exact community profile version, service choices and XML-era constraints if later selected</x:v>
      </x:c>
      <x:c r="F26" s="310" t="str">
        <x:v>The named requirements delimit an eventual implementation claim. No test execution is part of this research increment.</x:v>
      </x:c>
      <x:c r="G26" s="310" t="str">
        <x:v>The recommendation is a current OGC description agreement informed by this precedent, not native implementation of the historical marine profile. Selected existing vocabulary definitions could be reused according to their actual meanings and terms, but translating the old arrangement would still produce a new binding. Its assessment obligations are described as part of that proposal and do not create a new testing workstream.</x:v>
      </x:c>
      <x:c r="H26" s="310" t="str">
        <x:v>Use the subject-level shortlist in OGC Comparison; identify relevant content and remaining authored work.</x:v>
      </x:c>
      <x:c r="I26" s="310" t="str">
        <x:v>https://odip.github.io/MarineProfilesForSWE/</x:v>
      </x:c>
    </x:row>
    <x:row r="27" ht="127" hidden="0" customHeight="1">
      <x:c r="A27" s="312" t="str">
        <x:v>S22</x:v>
      </x:c>
      <x:c r="B27" s="313" t="str">
        <x:v>The Profiles Vocabulary</x:v>
      </x:c>
      <x:c r="C27" s="313" t="str">
        <x:v>Profile-documentation guidance</x:v>
      </x:c>
      <x:c r="D27" s="313" t="str">
        <x:v>Potential metadata describing a profile; not the profile’s content requirements</x:v>
      </x:c>
      <x:c r="E27" s="313" t="str">
        <x:v>Profiles Vocabulary terms and relationships if actually used</x:v>
      </x:c>
      <x:c r="F27" s="313" t="str">
        <x:v>The named requirements delimit an eventual implementation claim. No test execution is part of this research increment.</x:v>
      </x:c>
      <x:c r="G27" s="313" t="str">
        <x:v>The vocabulary could describe a profile and its supporting resources, but it cannot establish that the profile’s substantive requirements have been met. No RDF registry or profile-description implementation is selected. Its current role is documentary guidance; any later use must identify the metadata assertions separately from the implementation being assessed (World Wide Web Consortium 2019).</x:v>
      </x:c>
      <x:c r="H27" s="313" t="str">
        <x:v>Use the subject-level shortlist in OGC Comparison; identify relevant content and remaining authored work.</x:v>
      </x:c>
      <x:c r="I27" s="313" t="str">
        <x:v>https://www.w3.org/TR/2019/NOTE-dx-prof-20191218/</x:v>
      </x:c>
    </x:row>
    <x:row r="28" ht="127" hidden="0" customHeight="1">
      <x:c r="A28" s="309" t="str">
        <x:v>S23</x:v>
      </x:c>
      <x:c r="B28" s="310" t="str">
        <x:v>Data Strategy for the Alliance</x:v>
      </x:c>
      <x:c r="C28" s="310" t="str">
        <x:v>Policy context, not implementation model</x:v>
      </x:c>
      <x:c r="D28" s="310" t="str">
        <x:v>No technical implementation target</x:v>
      </x:c>
      <x:c r="E28" s="310" t="str">
        <x:v>Policy objectives and responsible implementation decisions, not a device schema</x:v>
      </x:c>
      <x:c r="F28" s="310" t="str">
        <x:v>The named requirements delimit an eventual implementation claim. No test execution is part of this research increment.</x:v>
      </x:c>
      <x:c r="G28" s="310" t="str">
        <x:v>The Data Strategy provides a policy rationale for interoperable information use, not an implementable sensor schema. The assessment can explain how a technical proposal supports its objectives, but cannot certify a device-model implementation against invented strategy requirements. Technical conformance must be demonstrated against the separately identified standards and profiles (North Atlantic Treaty Organization 2025).</x:v>
      </x:c>
      <x:c r="H28" s="310" t="str">
        <x:v>Use the subject-level shortlist in OGC Comparison; identify relevant content and remaining authored work.</x:v>
      </x:c>
      <x:c r="I28" s="310" t="str">
        <x:v>https://www.nato.int/en/about-us/official-texts-and-resources/official-texts/2025/05/05/data-strategy-for-the-alliance</x:v>
      </x:c>
    </x:row>
    <x:row r="29" ht="101" hidden="0" customHeight="1">
      <x:c r="A29" s="312" t="str">
        <x:v>S24</x:v>
      </x:c>
      <x:c r="B29" s="313" t="str">
        <x:v>NATO Core Data Framework (NCDF): ADatP-5653 (Study), Edition A, Version 1</x:v>
      </x:c>
      <x:c r="C29" s="313" t="str">
        <x:v>Historical publication lead</x:v>
      </x:c>
      <x:c r="D29" s="313" t="str">
        <x:v>No NCDF publication implemented</x:v>
      </x:c>
      <x:c r="E29" s="313" t="str">
        <x:v>Catalog identifies an older study reference; authoritative technical publication not inspected</x:v>
      </x:c>
      <x:c r="F29" s="313" t="str">
        <x:v>The named requirements delimit an eventual implementation claim. No test execution is part of this research increment.</x:v>
      </x:c>
      <x:c r="G29" s="313" t="str">
        <x:v>The catalog record does not supply a model that MERLIN can presently claim to implement. A native NCDF proposal would require the authoritative publication, edition, applicability and technical assessment criteria. Until then, the record is a recovery lead rather than a standards-implementation recommendation (“NATO Core Data Framework” n.d.).</x:v>
      </x:c>
      <x:c r="H29" s="313" t="str">
        <x:v>Use the subject-level shortlist in OGC Comparison; identify relevant content and remaining authored work.</x:v>
      </x:c>
      <x:c r="I29" s="313" t="str">
        <x:v>https://nisp.nw3.dk/standard/nato-adatp5653-ed.a-v1.html</x:v>
      </x:c>
    </x:row>
    <x:row r="30" ht="127" hidden="0" customHeight="1">
      <x:c r="A30" s="309" t="str">
        <x:v>S25</x:v>
      </x:c>
      <x:c r="B30" s="310" t="str">
        <x:v>StandardsReport_20261010T134742.352 GMT.xlsx(1).csv</x:v>
      </x:c>
      <x:c r="C30" s="310" t="str">
        <x:v>Authoritative complete DISR baseline; completed SOSA metadata screen incorporated as research evidence. 5,253 rows; 29 shortlist entries; 137 independent QA sample rows pending. Recovered CSV hash recorded; no registry change.</x:v>
      </x:c>
      <x:c r="D30" s="310" t="str">
        <x:v>The supplied DISR baseline is evidence, not software</x:v>
      </x:c>
      <x:c r="E30" s="310" t="str">
        <x:v>Preserve exact identifiers, editions, DoD/IC statuses and relevant record fields</x:v>
      </x:c>
      <x:c r="F30" s="310" t="str">
        <x:v>The named requirements delimit an eventual implementation claim. No test execution is part of this research increment.</x:v>
      </x:c>
      <x:c r="G30" s="310" t="str">
        <x:v>The export is the authoritative, complete current DISR baseline for this investigation under Sam’s direction. It is evidence about adoption, not a technical implementation target. Exact records and adequately checked absences are stated directly; historical rejection, pending changes and technical suitability remain separate matters that the baseline does not by itself explain (“StandardsReport” 2026; Bolling 2026, research direction).</x:v>
      </x:c>
      <x:c r="H30" s="310" t="str">
        <x:v>Use the subject-level shortlist in OGC Comparison; identify relevant content and remaining authored work.</x:v>
      </x:c>
      <x:c r="I30" s="310" t="str">
        <x:v>Project source L7; no public URL</x:v>
      </x:c>
    </x:row>
    <x:row r="31" ht="101" hidden="0" customHeight="1">
      <x:c r="A31" s="312" t="str">
        <x:v>S26</x:v>
      </x:c>
      <x:c r="B31" s="313" t="str">
        <x:v>Multilateral Interoperability Programme</x:v>
      </x:c>
      <x:c r="C31" s="313" t="str">
        <x:v>Vendor implementation perspective</x:v>
      </x:c>
      <x:c r="D31" s="313" t="str">
        <x:v>No implementation target from the vendor page</x:v>
      </x:c>
      <x:c r="E31" s="313" t="str">
        <x:v>Product claims require independent evidence and an exact implementing specification</x:v>
      </x:c>
      <x:c r="F31" s="313" t="str">
        <x:v>The named requirements delimit an eventual implementation claim. No test execution is part of this research increment.</x:v>
      </x:c>
      <x:c r="G31" s="313" t="str">
        <x:v>This vendor page is not a conformance specification. It can indicate a possible implementation to investigate, but cannot define MERLIN’s obligations or establish successful interoperability. Any later comparison needs an exact standard release and independently inspectable product or test evidence (Systematic n.d.).</x:v>
      </x:c>
      <x:c r="H31" s="313" t="str">
        <x:v>Use the subject-level shortlist in OGC Comparison; identify relevant content and remaining authored work.</x:v>
      </x:c>
      <x:c r="I31" s="313" t="str">
        <x:v>https://systematic.com/int/industries/defence/products/domains/interoperability/mip/</x:v>
      </x:c>
    </x:row>
    <x:row r="32" ht="114" hidden="0" customHeight="1">
      <x:c r="A32" s="309" t="str">
        <x:v>S27</x:v>
      </x:c>
      <x:c r="B32" s="310" t="str">
        <x:v>Welcome to MIM World!</x:v>
      </x:c>
      <x:c r="C32" s="310" t="str">
        <x:v>Authoritative model-recovery portal</x:v>
      </x:c>
      <x:c r="D32" s="310" t="str">
        <x:v>No selected MIM package from portal alone</x:v>
      </x:c>
      <x:c r="E32" s="310" t="str">
        <x:v>Exact versioned release and accompanying normative artifacts must be recovered</x:v>
      </x:c>
      <x:c r="F32" s="310" t="str">
        <x:v>The named requirements delimit an eventual implementation claim. No test execution is part of this research increment.</x:v>
      </x:c>
      <x:c r="G32" s="310" t="str">
        <x:v>The official portal improves provenance but does not substitute for reading a selected release. A native MIM proposal must identify the actual model package and its assessment obligations. No implementation claim follows from the portal’s existence or from retaining its terminology in an OGC example (Multilateral Interoperability Programme n.d.).</x:v>
      </x:c>
      <x:c r="H32" s="310" t="str">
        <x:v>Use the subject-level shortlist in OGC Comparison; identify relevant content and remaining authored work.</x:v>
      </x:c>
      <x:c r="I32" s="310" t="str">
        <x:v>https://www.mimworld.org/portal/projects/welcome/wiki/Welcome</x:v>
      </x:c>
    </x:row>
    <x:row r="33" ht="127" hidden="0" customHeight="1">
      <x:c r="A33" s="312" t="str">
        <x:v>S28</x:v>
      </x:c>
      <x:c r="B33" s="313" t="str">
        <x:v>The Specification Model—A Standard for Modular Specifications</x:v>
      </x:c>
      <x:c r="C33" s="313" t="str">
        <x:v>Supporting specification method</x:v>
      </x:c>
      <x:c r="D33" s="313" t="str">
        <x:v>A future authored profile/extension specification, if justified</x:v>
      </x:c>
      <x:c r="E33" s="313" t="str">
        <x:v>ModSpec §4.16 and §§6.4–6.5; requirements/classes, dependencies and preserved base conformance</x:v>
      </x:c>
      <x:c r="F33" s="313" t="str">
        <x:v>The named requirements delimit an eventual implementation claim. No test execution is part of this research increment.</x:v>
      </x:c>
      <x:c r="G33" s="313" t="str">
        <x:v>ModSpec’s relevant target is a specification we might author, not a sensor instance. A proposed profile or extension must identify its base contracts, additional requirements, dependencies and corresponding conformance organization. Such an authoring assessment would not establish that a MERLIN server implements the resulting specification; that requires separate implementation tests (Open Geospatial Consortium 2009b, §4.16, §§6.4–6.5).</x:v>
      </x:c>
      <x:c r="H33" s="313" t="str">
        <x:v>Use the subject-level shortlist in OGC Comparison; identify relevant content and remaining authored work.</x:v>
      </x:c>
      <x:c r="I33" s="313" t="str">
        <x:v>https://docs.ogc.org/pol/08-131r3/08-131r3.pdf</x:v>
      </x:c>
    </x:row>
    <x:row r="34" ht="114" hidden="0" customHeight="1">
      <x:c r="A34" s="309" t="str">
        <x:v>S29</x:v>
      </x:c>
      <x:c r="B34" s="310" t="str">
        <x:v>DoD Information Technology Standards Registry (DISR)</x:v>
      </x:c>
      <x:c r="C34" s="310" t="str">
        <x:v>Adoption guidance</x:v>
      </x:c>
      <x:c r="D34" s="310" t="str">
        <x:v>No technical implementation target</x:v>
      </x:c>
      <x:c r="E34" s="310" t="str">
        <x:v>DISR guidance context; detailed formal action requires governing procedure</x:v>
      </x:c>
      <x:c r="F34" s="310" t="str">
        <x:v>The named requirements delimit an eventual implementation claim. No test execution is part of this research increment.</x:v>
      </x:c>
      <x:c r="G34" s="310" t="str">
        <x:v>The DLA guidance page is not a technical implementation standard. It helps frame the relationship between registry status and a proposed selection, while the supplied export establishes the baseline itself. A formal action must use the applicable procedure and an exact implementation need, not a conformance claim attached to this webpage (Defense Logistics Agency n.d.).</x:v>
      </x:c>
      <x:c r="H34" s="310" t="str">
        <x:v>Use the subject-level shortlist in OGC Comparison; identify relevant content and remaining authored work.</x:v>
      </x:c>
      <x:c r="I34" s="310" t="str">
        <x:v>https://www.dsp.dla.mil/specs-standards/list-of-disr-documents/</x:v>
      </x:c>
    </x:row>
    <x:row r="35" ht="127" hidden="0" customHeight="1">
      <x:c r="A35" s="312" t="str">
        <x:v>S30</x:v>
      </x:c>
      <x:c r="B35" s="313" t="str">
        <x:v>Information Technology Standards in the DoD</x:v>
      </x:c>
      <x:c r="C35" s="313" t="str">
        <x:v>Governing policy recovery boundary</x:v>
      </x:c>
      <x:c r="D35" s="313" t="str">
        <x:v>Program/standards-management actions, not a sensor encoding</x:v>
      </x:c>
      <x:c r="E35" s="313" t="str">
        <x:v>Applicable instruction provisions and implementing procedure; complete text not recovered in this research increment</x:v>
      </x:c>
      <x:c r="F35" s="313" t="str">
        <x:v>The named requirements delimit an eventual implementation claim. No test execution is part of this research increment.</x:v>
      </x:c>
      <x:c r="G35" s="313" t="str">
        <x:v>The instruction governs standards-related responsibilities rather than defining a SensorML or donor-model implementation. Its procedural applicability must be evaluated for a concrete proposed action; the incomplete full-text inspection does not invalidate the supplied DISR baseline. No technical conformance or authorization claim is inferred from the instruction’s title or public summary (Department of Defense 2023).</x:v>
      </x:c>
      <x:c r="H35" s="313" t="str">
        <x:v>Use the subject-level shortlist in OGC Comparison; identify relevant content and remaining authored work.</x:v>
      </x:c>
      <x:c r="I35" s="313" t="str">
        <x:v>https://www.esd.whs.mil/portals/54/documents/dd/issuances/dodi/831001p.pdf</x:v>
      </x:c>
    </x:row>
    <x:row r="36" ht="127" hidden="0" customHeight="1">
      <x:c r="A36" s="309" t="str">
        <x:v>S31</x:v>
      </x:c>
      <x:c r="B36" s="310" t="str">
        <x:v>NATO Interoperability Standards and Profiles. Volume 1: Introduction and Management</x:v>
      </x:c>
      <x:c r="C36" s="310" t="str">
        <x:v>Historical NATO profiling method</x:v>
      </x:c>
      <x:c r="D36" s="310" t="str">
        <x:v>Profile-selection/maintenance proposal, not a device model</x:v>
      </x:c>
      <x:c r="E36" s="310" t="str">
        <x:v>NISP 15/2023 cited clauses; current applicable submission procedure must be identified for an actual action</x:v>
      </x:c>
      <x:c r="F36" s="310" t="str">
        <x:v>The named requirements delimit an eventual implementation claim. No test execution is part of this research increment.</x:v>
      </x:c>
      <x:c r="G36" s="310" t="str">
        <x:v>NISP supplies a governance setting for choosing and maintaining standards and profiles, not the device-level conformance target. This entry remains explicitly tied to the inspected 2023 edition. A future proposal must use the applicable procedure and named technical obligations; adopting a profile reference and demonstrating an implementation are separate achievements (North Atlantic Treaty Organization 2023, chap. 5, app. A).</x:v>
      </x:c>
      <x:c r="H36" s="310" t="str">
        <x:v>Use the subject-level shortlist in OGC Comparison; identify relevant content and remaining authored work.</x:v>
      </x:c>
      <x:c r="I36" s="310" t="str">
        <x:v>https://archive.nisp.nw3.dk/nisp-15.0/volume1/ch01.html</x:v>
      </x:c>
    </x:row>
    <x:row r="37" ht="140" hidden="0" customHeight="1">
      <x:c r="A37" s="312" t="str">
        <x:v>S32</x:v>
      </x:c>
      <x:c r="B37" s="313" t="str">
        <x:v>STANAG 4789 JCGISR (Edition 1) (Ratification Draft 1)—Sensor Integration Standard for NATO JISR Operations—AEP-4789, Edition A</x:v>
      </x:c>
      <x:c r="C37" s="313" t="str">
        <x:v>Official 4789 ratification evidence</x:v>
      </x:c>
      <x:c r="D37" s="313" t="str">
        <x:v>Future implementation of applicable AEP requirements, not of the cover letter</x:v>
      </x:c>
      <x:c r="E37" s="313" t="str">
        <x:v>Exact AEP volume clauses, editions and national implementation obligations; RD1 stage must remain distinct</x:v>
      </x:c>
      <x:c r="F37" s="313" t="str">
        <x:v>The named requirements delimit an eventual implementation claim. No test execution is part of this research increment.</x:v>
      </x:c>
      <x:c r="G37" s="313" t="str">
        <x:v>The recovered ratification package identifies the NATO framework and process, but the cover letter is not the technical implementation contract. A STANAG implementation claim must identify the applicable AEP provisions and underlying standard requirements, along with the relevant national obligations. This increment neither establishes that complete contract nor demonstrates its implementation (NATO Standardization Office 2026, cover letter and covering agreement).</x:v>
      </x:c>
      <x:c r="H37" s="313" t="str">
        <x:v>Use the subject-level shortlist in OGC Comparison; identify relevant content and remaining authored work.</x:v>
      </x:c>
      <x:c r="I37" s="313"/>
    </x:row>
    <x:row r="38" ht="114" hidden="0" customHeight="1">
      <x:c r="A38" s="309" t="str">
        <x:v>S33</x:v>
      </x:c>
      <x:c r="B38" s="310" t="str">
        <x:v>OWS-6 SensorML Profile for Discovery Engineering Report</x:v>
      </x:c>
      <x:c r="C38" s="310" t="str">
        <x:v>Historical discovery-content precedent; tests not active</x:v>
      </x:c>
      <x:c r="D38" s="310" t="str">
        <x:v>Historical SensorML XML documents under the report’s profile rules; not selected for MERLIN implementation</x:v>
      </x:c>
      <x:c r="E38" s="310" t="str">
        <x:v>OGC 09-033 v0.3.0 §7 plus referenced SensorML 1.0/1.0.1 schema obligations; conflicts must be resolved explicitly</x:v>
      </x:c>
      <x:c r="F38" s="310" t="str">
        <x:v>The named requirements delimit an eventual implementation claim. No test execution is part of this research increment.</x:v>
      </x:c>
      <x:c r="G38" s="310" t="str">
        <x:v>MERLIN is not proposed to implement this XML-era Engineering Report unchanged. Its current role is evidence for coordinated content within SensorML, with any present-day agreement stated separately. The isolated predicates examined in v0.3 remain historical working notes and are not the next research task (Open Geospatial Consortium 2009a, cover, §§6–7).</x:v>
      </x:c>
      <x:c r="H38" s="310" t="str">
        <x:v>Use the subject-level shortlist in OGC Comparison; identify relevant content and remaining authored work.</x:v>
      </x:c>
      <x:c r="I38" s="310" t="str">
        <x:v>https://docs.ogc.org/per/09-033/09-033.pdf</x:v>
      </x:c>
    </x:row>
    <x:row r="39" ht="140" hidden="0" customHeight="1">
      <x:c r="A39" s="312" t="str">
        <x:v>S34</x:v>
      </x:c>
      <x:c r="B39" s="313" t="str">
        <x:v>Catalogue Services Specification 2.0 Extension Package for ebRIM Application Profile: SensorML</x:v>
      </x:c>
      <x:c r="C39" s="313" t="str">
        <x:v>Historical profile-to-catalogue mapping precedent</x:v>
      </x:c>
      <x:c r="D39" s="313" t="str">
        <x:v>Possible historical CSW-ebRIM catalogue plus SensorML input-profile implementation; not selected</x:v>
      </x:c>
      <x:c r="E39" s="313" t="str">
        <x:v>09-163r2 v0.3.0 input profile, catalogue dependencies, target mappings, cardinalities and query behavior</x:v>
      </x:c>
      <x:c r="F39" s="313" t="str">
        <x:v>The named requirements delimit an eventual implementation claim. No test execution is part of this research increment.</x:v>
      </x:c>
      <x:c r="G39" s="313" t="str">
        <x:v>A native implementation of the paper’s approach would entail its input-profile rules and a CSW-ebRIM catalogue contract, including the mappings and relevant behavior. MERLIN is not proposed to deploy that historical catalogue. The present contribution is the discipline of stating both sides of a mapping; a new SensorML 3.0/CSAPI mapping would remain a separate artifact requiring its own assessment (Open Geospatial Consortium 2010, preface, §§12–13).</x:v>
      </x:c>
      <x:c r="H39" s="313" t="str">
        <x:v>Use the subject-level shortlist in OGC Comparison; identify relevant content and remaining authored work.</x:v>
      </x:c>
      <x:c r="I39" s="313" t="str">
        <x:v>https://docs.ogc.org/dp/09-163r2/09-163r2.pdf</x:v>
      </x:c>
    </x:row>
    <x:row r="40" ht="140" customHeight="1">
      <x:c r="A40" s="309" t="str">
        <x:v>S35</x:v>
      </x:c>
      <x:c r="B40" s="310" t="str">
        <x:v>CCOM UML Class Model</x:v>
      </x:c>
      <x:c r="C40" s="310" t="str">
        <x:v>Detailed lifecycle evidence; not the DISR-listed OSA-EAI edition</x:v>
      </x:c>
      <x:c r="D40" s="310" t="str">
        <x:v>A selected CCOM model/exchange artifact, not every MIMOSA service or the mandated OSA-EAI 3.2.3a by implication</x:v>
      </x:c>
      <x:c r="E40" s="310" t="str">
        <x:v>CCOM entity semantics and relationships; selected XML compound-document/BOD form; reference-data agreement; artifact-specific rights</x:v>
      </x:c>
      <x:c r="F40" s="310" t="str">
        <x:v>The named requirements delimit an eventual implementation claim. No test execution is part of this research increment.</x:v>
      </x:c>
      <x:c r="G40" s="310" t="str">
        <x:v>Retain the model as a serious lifecycle candidate rather than claim implementation now. Preserving native CCOM XML or implementing a documented model realization would be substantively different from copying selected relationship names into SensorML. The latter would be an authored mapping whose meaning and coverage we own; the former needs an exact version and selected artifact, without requiring a test campaign during this literature review.</x:v>
      </x:c>
      <x:c r="H40" s="310" t="str">
        <x:v>Current paper §1 and Family Applicability govern scope; old case-specific exclusions are historical.</x:v>
      </x:c>
      <x:c r="I40" s="310" t="str">
        <x:v>https://www.mimosa.org/wp-content/uploads/specifications/2019/12/ccom-4-1-0-rc1/CCOM-UML-Class-Model-4.1.0-RC1.pdf</x:v>
      </x:c>
    </x:row>
    <x:row r="41" ht="127" customHeight="1">
      <x:c r="A41" s="312" t="str">
        <x:v>S36</x:v>
      </x:c>
      <x:c r="B41" s="313" t="str">
        <x:v>Generic Frame for Technical Data for Industrial Equipment in Manufacturing</x:v>
      </x:c>
      <x:c r="C41" s="313" t="str">
        <x:v>Supporting design comparator; not selected as a second generic description model</x:v>
      </x:c>
      <x:c r="D41" s="313" t="str">
        <x:v>TechnicalData submodel content and referenced semantic definitions; not every AAS service</x:v>
      </x:c>
      <x:c r="E41" s="313" t="str">
        <x:v>AAS metamodel/serialization, template content and selected dictionary releases</x:v>
      </x:c>
      <x:c r="F41" s="313" t="str">
        <x:v>The named requirements delimit an eventual implementation claim. No test execution is part of this research increment.</x:v>
      </x:c>
      <x:c r="G41" s="313" t="str">
        <x:v>The current recommendation is to retain this as a concrete frame comparison, not add a parallel TechnicalData implementation to MERLIN. A native option would retain an identifiable AAS artifact and its selected template obligations; a SensorML rendering of selected content would be an explicit mapping. That mapping could be valuable for an AAS-producing partner, but no such producer has been established by the supplied examples.</x:v>
      </x:c>
      <x:c r="H41" s="313" t="str">
        <x:v>Domain-specific property selection and meaning are not supplied by the generic frame.</x:v>
      </x:c>
      <x:c r="I41" s="313" t="str">
        <x:v>https://industrialdigitaltwin.org/en/wp-content/uploads/sites/2/2025/03/IDTA-02003_Generic-Frame-for-Technical-Data.pdf</x:v>
      </x:c>
    </x:row>
    <x:row r="42" ht="127" customHeight="1">
      <x:c r="A42" s="309" t="str">
        <x:v>S37</x:v>
      </x:c>
      <x:c r="B42" s="310" t="str">
        <x:v>Hierarchical Structures enabling Bills of Material</x:v>
      </x:c>
      <x:c r="C42" s="310" t="str">
        <x:v>Conditional equipment comparator; generic hierarchy is insufficient reason for a new AAS layer</x:v>
      </x:c>
      <x:c r="D42" s="310" t="str">
        <x:v>One selected hierarchy archetype and entity/reference rules</x:v>
      </x:c>
      <x:c r="E42" s="310" t="str">
        <x:v>AAS entities and relationship elements; resolution appropriate to local file or distributed setting</x:v>
      </x:c>
      <x:c r="F42" s="310" t="str">
        <x:v>The named requirements delimit an eventual implementation claim. No test execution is part of this research increment.</x:v>
      </x:c>
      <x:c r="G42" s="310" t="str">
        <x:v>Keep this on the equipment comparison shortlist as a specific alternative to a management-centric hardware model. Do not presently select an additional AAS artifact solely for hierarchy organization. If a native AAS exchange is chosen, preserve the template’s identities and references; if only its organization informs an OGC agreement, describe that as an authored mapping or design precedent.</x:v>
      </x:c>
      <x:c r="H42" s="310" t="str">
        <x:v>Meaning of each supplied relationship and source identity still require mapping.</x:v>
      </x:c>
      <x:c r="I42" s="310" t="str">
        <x:v>https://industrialdigitaltwin.org/en/wp-content/uploads/sites/2/2024/06/IDTA-02011-1-1_Submodel_HierarchicalStructuresEnablingBoM.pdf</x:v>
      </x:c>
    </x:row>
    <x:row r="43" ht="127" customHeight="1">
      <x:c r="A43" s="312" t="str">
        <x:v>S38</x:v>
      </x:c>
      <x:c r="B43" s="313" t="str">
        <x:v>Hierarchical Structures enabling Bills of Material – Extension based on IEC 81346</x:v>
      </x:c>
      <x:c r="C43" s="313" t="str">
        <x:v>Targeted relationship reference; not a proposed universal mission hierarchy</x:v>
      </x:c>
      <x:c r="D43" s="313" t="str">
        <x:v>Aspect-specific hierarchy and cross-aspect relationships of selected asset descriptions</x:v>
      </x:c>
      <x:c r="E43" s="313" t="str">
        <x:v>Base IDTA 02011 v1.1, selected AAS metamodel and referenced IEC concepts</x:v>
      </x:c>
      <x:c r="F43" s="313" t="str">
        <x:v>The named requirements delimit an eventual implementation claim. No test execution is part of this research increment.</x:v>
      </x:c>
      <x:c r="G43" s="313" t="str">
        <x:v>The current recommendation is a targeted semantic comparison, not native implementation of the IEC-based AAS extension. A native alternative would create the applicable extension artifact; a translation would preserve selected meanings in a separately defined OGC representation. Borrowing the separation of perspectives alone should be credited as design learning, not advertised as implementing IEC 81346 or IDTA 02011-1.</x:v>
      </x:c>
      <x:c r="H43" s="313" t="str">
        <x:v>Military role meanings, source relationships and OGC binding are not supplied.</x:v>
      </x:c>
      <x:c r="I43" s="313" t="str">
        <x:v>https://industrialdigitaltwin.org/en/wp-content/uploads/sites/2/2025/08/IDTA-02011-1-Hierarchical-Structures-enabling-Bills-of-Material_Extension-based-on-IEC-81346.pdf</x:v>
      </x:c>
    </x:row>
    <x:row r="44" ht="114" customHeight="1">
      <x:c r="A44" s="309" t="str">
        <x:v>S39</x:v>
      </x:c>
      <x:c r="B44" s="310" t="str">
        <x:v>Capability Description</x:v>
      </x:c>
      <x:c r="C44" s="310" t="str">
        <x:v>Conditional capability-planning candidate; not selected for ordinary resource description</x:v>
      </x:c>
      <x:c r="D44" s="310" t="str">
        <x:v>Selected capability artifact and declared interactions; file-based subset has operation limitations</x:v>
      </x:c>
      <x:c r="E44" s="310" t="str">
        <x:v>AAS 3.1 model; serialization/AASX for files; AAS API for relevant live functionality; domain definitions</x:v>
      </x:c>
      <x:c r="F44" s="310" t="str">
        <x:v>The named requirements delimit an eventual implementation claim. No test execution is part of this research increment.</x:v>
      </x:c>
      <x:c r="G44" s="310" t="str">
        <x:v>Retain this as a conditional content-model candidate, not a current implementation recommendation. A native option could be an AAS file artifact or the appropriate API-backed capability, within the stated feature limits. A CSAPI-only option would be an authored binding, and its usefulness must come from a real requirement/ability relationship rather than from copying the word capability.</x:v>
      </x:c>
      <x:c r="H44" s="310" t="str">
        <x:v>Sensing-domain capability vocabulary, effect/constraint meaning and command links remain to be defined.</x:v>
      </x:c>
      <x:c r="I44" s="310" t="str">
        <x:v>https://industrialdigitaltwin.org/en/wp-content/uploads/sites/2/2026/04/IDTA-02020_Submodel_Capability_Description.pdf</x:v>
      </x:c>
    </x:row>
    <x:row r="45" ht="88" customHeight="1">
      <x:c r="A45" s="304" t="str">
        <x:v>S40</x:v>
      </x:c>
      <x:c r="B45" s="304" t="str">
        <x:v>Sentinel 1.0.7.2 Software Users Manual: selected ETU-II pages</x:v>
      </x:c>
      <x:c r="C45" s="304" t="str">
        <x:v>TRSS reference case; not the profile’s data or lifecycle ceiling</x:v>
      </x:c>
      <x:c r="D45" s="304" t="str">
        <x:v>None selected through this source entry</x:v>
      </x:c>
      <x:c r="E45" s="304" t="str">
        <x:v>Source semantics retained; no invented conformance target</x:v>
      </x:c>
      <x:c r="F45" s="304" t="str">
        <x:v>Documentary comparison only</x:v>
      </x:c>
      <x:c r="G45" s="304" t="str">
        <x:v>This paper uses the manual as source evidence and proposes no implementation of the manual as a standard. An eventual adapter would preserve its meanings in a separately specified OGC representation. The current achievement is a worked modeling comparison, not a deployed Sentinel bridge.</x:v>
      </x:c>
      <x:c r="H45" s="304" t="str">
        <x:v>Current paper §1 and Family Applicability govern scope; old case-specific exclusions are historical.</x:v>
      </x:c>
      <x:c r="I45" s="304" t="str">
        <x:v>Library locator: libfile_cbd2e80dc0e081918022604ef8d45f2e; TRSS Details View Research.pptx, slides 10–12</x:v>
      </x:c>
    </x:row>
    <x:row r="46" ht="88" customHeight="1">
      <x:c r="A46" s="304" t="str">
        <x:v>S41</x:v>
      </x:c>
      <x:c r="B46" s="304" t="str">
        <x:v>OmniSense CORE configuration and transducer reporting: selected manual pages</x:v>
      </x:c>
      <x:c r="C46" s="304" t="str">
        <x:v>OmniSense reference case; not the profile’s data or lifecycle ceiling</x:v>
      </x:c>
      <x:c r="D46" s="304" t="str">
        <x:v>None selected through this source entry</x:v>
      </x:c>
      <x:c r="E46" s="304" t="str">
        <x:v>Source semantics retained; no invented conformance target</x:v>
      </x:c>
      <x:c r="F46" s="304" t="str">
        <x:v>Documentary comparison only</x:v>
      </x:c>
      <x:c r="G46" s="304" t="str">
        <x:v>The current use is a documented interpretation of the manual’s example and workflow. No OmniSense, OGC or RFC implementation is certified by this comparison. A future adapter would have its own representation and operation contract, distinct from this research evidence.</x:v>
      </x:c>
      <x:c r="H46" s="304" t="str">
        <x:v>Current paper §1 and Family Applicability govern scope; old case-specific exclusions are historical.</x:v>
      </x:c>
      <x:c r="I46" s="304" t="str">
        <x:v>Library locator: libfile_7b30d4a27a44819194bef90e7c7aece4; SADU Details View Research.pptx, slides 1–7</x:v>
      </x:c>
    </x:row>
    <x:row r="47" ht="88" customHeight="1">
      <x:c r="A47" s="304" t="str">
        <x:v>S42</x:v>
      </x:c>
      <x:c r="B47" s="304" t="str">
        <x:v>Bosch BME280: environmental-model contrast</x:v>
      </x:c>
      <x:c r="C47" s="304" t="str">
        <x:v>Component/model contrast only; not representative of the whole employed system</x:v>
      </x:c>
      <x:c r="D47" s="304" t="str">
        <x:v>None selected through this source entry</x:v>
      </x:c>
      <x:c r="E47" s="304" t="str">
        <x:v>Source semantics retained; no invented conformance target</x:v>
      </x:c>
      <x:c r="F47" s="304" t="str">
        <x:v>Documentary comparison only</x:v>
      </x:c>
      <x:c r="G47" s="304" t="str">
        <x:v>The present use is a manufacturer-grounded model description in a paper comparison. No BME280 driver, OGC service or hardware implementation has been developed or tested. A future OGC representation would be newly authored unless an applicable published binding is separately established.</x:v>
      </x:c>
      <x:c r="H47" s="304" t="str">
        <x:v>Current paper §1 and Family Applicability govern scope; old case-specific exclusions are historical.</x:v>
      </x:c>
      <x:c r="I47" s="304" t="str">
        <x:v>https://www.bosch-sensortec.com/media/boschsensortec/downloads/datasheets/bst-bme280-ds002.pdf</x:v>
      </x:c>
    </x:row>
    <x:row r="48" ht="88" customHeight="1">
      <x:c r="A48" s="315" t="str">
        <x:v>S43</x:v>
      </x:c>
      <x:c r="B48" s="304" t="str">
        <x:v>Common command-and-control user interface for current force UGS</x:v>
      </x:c>
      <x:c r="C48" s="304" t="str">
        <x:v>Priority lineage source; abstract-level only</x:v>
      </x:c>
      <x:c r="D48" s="304" t="str">
        <x:v>Historical cross-vendor UGS engineering lead</x:v>
      </x:c>
      <x:c r="E48" s="304" t="str">
        <x:v>Publisher record and indexed abstract; complete paper not retrieved.</x:v>
      </x:c>
      <x:c r="F48" s="304" t="str">
        <x:v>Explains the intended claim; not an active testing task</x:v>
      </x:c>
      <x:c r="G48" s="304" t="str">
        <x:v>This research cites an engineering publication; MERLIN is not proposed to implement its uninspected interface. A later implementation proposal would need the actual technical specification and applicable rights. It would also distinguish an original vendor contract from a new OGC binding.</x:v>
      </x:c>
      <x:c r="H48" s="304" t="str">
        <x:v>Use in the family-level profile content assessment, preserving evidence limits.</x:v>
      </x:c>
      <x:c r="I48" s="304" t="str">
        <x:v>https://doi.org/10.1117/12.822186</x:v>
      </x:c>
    </x:row>
    <x:row r="49" ht="88" customHeight="1">
      <x:c r="A49" s="315" t="str">
        <x:v>S44</x:v>
      </x:c>
      <x:c r="B49" s="304" t="str">
        <x:v>OmniSense unattended ground sensor system</x:v>
      </x:c>
      <x:c r="C49" s="304" t="str">
        <x:v>Retain as CDIF recovery lead</x:v>
      </x:c>
      <x:c r="D49" s="304" t="str">
        <x:v>Manufacturer-authored system/interface lineage</x:v>
      </x:c>
      <x:c r="E49" s="304" t="str">
        <x:v>Publication record and indexed abstract; full paper and CDIF specification not retrieved.</x:v>
      </x:c>
      <x:c r="F49" s="304" t="str">
        <x:v>Explains the intended claim; not an active testing task</x:v>
      </x:c>
      <x:c r="G49" s="304" t="str">
        <x:v>No CDIF implementation is proposed or claimed by this source entry. A future CDIF adapter would require the actual authorized interface specification, with explicit mapping to OGC. Borrowing a paper’s descriptive concepts would support only a research-informed design claim.</x:v>
      </x:c>
      <x:c r="H49" s="304" t="str">
        <x:v>Use in the family-level profile content assessment, preserving evidence limits.</x:v>
      </x:c>
      <x:c r="I49" s="304" t="str">
        <x:v>https://doi.org/10.1117/12.784540</x:v>
      </x:c>
    </x:row>
    <x:row r="50" ht="88" customHeight="1">
      <x:c r="A50" s="315" t="str">
        <x:v>S45</x:v>
      </x:c>
      <x:c r="B50" s="304" t="str">
        <x:v>The Open Standard for Unattended Sensors (OSUS) as a Platform for the Internet of Things (IOT)</x:v>
      </x:c>
      <x:c r="C50" s="304" t="str">
        <x:v>Use as attributed rationale; separate from newly inspected code</x:v>
      </x:c>
      <x:c r="D50" s="304" t="str">
        <x:v>Original engineering research on UGS–IoT applicability</x:v>
      </x:c>
      <x:c r="E50" s="304" t="str">
        <x:v>University record, abstract and linked OhioLINK metadata; full thesis not retrieved.</x:v>
      </x:c>
      <x:c r="F50" s="304" t="str">
        <x:v>Explains the intended claim; not an active testing task</x:v>
      </x:c>
      <x:c r="G50" s="304" t="str">
        <x:v>The thesis is analytical evidence, not the standard that MERLIN would implement. A native OSUS choice would involve a specific release and its services, rather than adoption of the thesis’s conclusions. The present purpose is applicability assessment, not migration to another runtime.</x:v>
      </x:c>
      <x:c r="H50" s="304" t="str">
        <x:v>Use in the family-level profile content assessment, preserving evidence limits.</x:v>
      </x:c>
      <x:c r="I50" s="304" t="str">
        <x:v>https://ecommons.udayton.edu/graduate_theses/7186/</x:v>
      </x:c>
    </x:row>
    <x:row r="51" ht="88" customHeight="1">
      <x:c r="A51" s="315" t="str">
        <x:v>S46</x:v>
      </x:c>
      <x:c r="B51" s="304" t="str">
        <x:v>Unattended Ground Sensor Survey</x:v>
      </x:c>
      <x:c r="C51" s="304" t="str">
        <x:v>Whole-system coverage evidence, not current product or normative model</x:v>
      </x:c>
      <x:c r="D51" s="304" t="str">
        <x:v>Government-sponsored technical survey</x:v>
      </x:c>
      <x:c r="E51" s="304" t="str">
        <x:v>Full 38-page PDF recovered; scope, §2, TRSS/McQ/Scorpion sections and selected references inspected; figures visually inspected.</x:v>
      </x:c>
      <x:c r="F51" s="304" t="str">
        <x:v>Explains the intended claim; not an active testing task</x:v>
      </x:c>
      <x:c r="G51" s="304" t="str">
        <x:v>MERLIN would not implement this survey as a technical standard. Its information subjects guide the comparison of candidate models and profile coverage. Any product-derived instance values or operational behaviors would still need appropriate source evidence.</x:v>
      </x:c>
      <x:c r="H51" s="304" t="str">
        <x:v>Use in the family-level profile content assessment, preserving evidence limits.</x:v>
      </x:c>
      <x:c r="I51" s="304" t="str">
        <x:v>https://dsiac.dtic.mil/wp-content/uploads/2018/05/2165849_STI_Document.pdf</x:v>
      </x:c>
    </x:row>
    <x:row r="52" ht="101" customHeight="1">
      <x:c r="A52" s="315" t="str">
        <x:v>S47</x:v>
      </x:c>
      <x:c r="B52" s="304" t="str">
        <x:v>OSUS-R Asset interface and capability model</x:v>
      </x:c>
      <x:c r="C52" s="304" t="str">
        <x:v>OSUS-R implementation-subset precedent retained; no complete native interoperability claim. Current mode/function binding retains useful organization without claiming OSUS schema or runtime implementation.</x:v>
      </x:c>
      <x:c r="D52" s="304" t="str">
        <x:v>Inspectable reference-implementation model</x:v>
      </x:c>
      <x:c r="E52" s="304" t="str">
        <x:v>README; Asset.java introductory interface documentation; AssetCapabilities.xsd selected capability/status/command blocks.</x:v>
      </x:c>
      <x:c r="F52" s="304" t="str">
        <x:v>Explains the intended claim; not an active testing task</x:v>
      </x:c>
      <x:c r="G52" s="304" t="str">
        <x:v>A native OSUS implementation would satisfy the selected release’s service and plug-in contracts. Translating selected model content into SensorML is instead a new binding, unless an applicable published correspondence is found. Neither a capability list nor an OGC document alone establishes native OSUS implementation.</x:v>
      </x:c>
      <x:c r="H52" s="304" t="str">
        <x:v>Use in the family-level profile content assessment, preserving evidence limits.</x:v>
      </x:c>
      <x:c r="I52" s="304" t="str">
        <x:v>https://github.com/ssg-udri/OSUS-R/blob/d09088fbe56d4b64f0544d72e98c3cb70fa941f6/mil.dod.th.core/src/mil/dod/th/core/asset/Asset.java</x:v>
      </x:c>
    </x:row>
    <x:row r="53" ht="88" customHeight="1">
      <x:c r="A53" s="315" t="str">
        <x:v>S48</x:v>
      </x:c>
      <x:c r="B53" s="304" t="str">
        <x:v>Service-oriented Sensor Data Interoperability for IEEE 1451 Smart Transducers</x:v>
      </x:c>
      <x:c r="C53" s="304" t="str">
        <x:v>Historical device-standard/OGC bridge precedent</x:v>
      </x:c>
      <x:c r="D53" s="304" t="str">
        <x:v>Primary prototype and interoperability evidence</x:v>
      </x:c>
      <x:c r="E53" s="304" t="str">
        <x:v>Full six-page paper recovered; §§I, III–V and prototype figures inspected.</x:v>
      </x:c>
      <x:c r="F53" s="304" t="str">
        <x:v>Explains the intended claim; not an active testing task</x:v>
      </x:c>
      <x:c r="G53" s="304" t="str">
        <x:v>Reproducing the historical implementation would entail its actual IEEE, STWS and SOS contracts. MERLIN is not proposed to deploy that legacy stack. A current CSAPI profile or bridge would need its own bindings and should not inherit the prototype’s implementation claim.</x:v>
      </x:c>
      <x:c r="H53" s="304" t="str">
        <x:v>Use in the family-level profile content assessment, preserving evidence limits.</x:v>
      </x:c>
      <x:c r="I53" s="304" t="str">
        <x:v>https://tsapps.nist.gov/publication/get_pdf.cfm?pub_id=902312</x:v>
      </x:c>
    </x:row>
    <x:row r="54" ht="75" customHeight="1">
      <x:c r="A54" s="315" t="str">
        <x:v>S49</x:v>
      </x:c>
      <x:c r="B54" s="304" t="str">
        <x:v>IoT Device Cybersecurity Capability Core Baseline</x:v>
      </x:c>
      <x:c r="C54" s="304" t="str">
        <x:v>Corroborating category evidence, not the domain model</x:v>
      </x:c>
      <x:c r="D54" s="304" t="str">
        <x:v>Authoritative broad device-category context</x:v>
      </x:c>
      <x:c r="E54" s="304" t="str">
        <x:v>Full public PDF recovered; introduction and stated scope inspected.</x:v>
      </x:c>
      <x:c r="F54" s="304" t="str">
        <x:v>Explains the intended claim; not an active testing task</x:v>
      </x:c>
      <x:c r="G54" s="304" t="str">
        <x:v>No new implementation of the cybersecurity baseline is claimed here. Security requirements for an eventual deployment remain governed by their own applicable policies and standards. The present use is a cited classification context.</x:v>
      </x:c>
      <x:c r="H54" s="304" t="str">
        <x:v>Use in the family-level profile content assessment, preserving evidence limits.</x:v>
      </x:c>
      <x:c r="I54" s="304" t="str">
        <x:v>https://nvlpubs.nist.gov/nistpubs/ir/2020/NIST.IR.8259A.pdf</x:v>
      </x:c>
    </x:row>
    <x:row r="55" ht="75" customHeight="1">
      <x:c r="A55" s="315" t="str">
        <x:v>S50</x:v>
      </x:c>
      <x:c r="B55" s="304" t="str">
        <x:v>Terminology for Constrained-Node Networks</x:v>
      </x:c>
      <x:c r="C55" s="304" t="str">
        <x:v>Optional applicability facet, not a universal UGS class</x:v>
      </x:c>
      <x:c r="D55" s="304" t="str">
        <x:v>Cross-domain constraints terminology</x:v>
      </x:c>
      <x:c r="E55" s="304" t="str">
        <x:v>Definitions and §§3–4, especially energy limitations and power strategies.</x:v>
      </x:c>
      <x:c r="F55" s="304" t="str">
        <x:v>Explains the intended claim; not an active testing task</x:v>
      </x:c>
      <x:c r="G55" s="304" t="str">
        <x:v>Using the terminology is not implementing a native network protocol. A profile may reference applicable terms, with the exact intended meaning stated. Any executable resource model would come from a separate specification or authored binding.</x:v>
      </x:c>
      <x:c r="H55" s="304" t="str">
        <x:v>Use in the family-level profile content assessment, preserving evidence limits.</x:v>
      </x:c>
      <x:c r="I55" s="304" t="str">
        <x:v>https://www.rfc-editor.org/rfc/rfc7228.html</x:v>
      </x:c>
    </x:row>
    <x:row r="56" ht="75" customHeight="1">
      <x:c r="A56" s="315" t="str">
        <x:v>S51</x:v>
      </x:c>
      <x:c r="B56" s="304" t="str">
        <x:v>SAPIENT autonomous sensor system</x:v>
      </x:c>
      <x:c r="C56" s="304" t="str">
        <x:v>Historical 2024 guidance retained; technical v2 sources now S110–S113. S124 is distinct 14 Oct 2026 guidance revision. Historical OSUS coexistence wording not found on current page; prior dated evidence retained.</x:v>
      </x:c>
      <x:c r="D56" s="304" t="str">
        <x:v>Government implementation-ecosystem evidence</x:v>
      </x:c>
      <x:c r="E56" s="304" t="str">
        <x:v>Official guidance, version history and multinational experimentation account.</x:v>
      </x:c>
      <x:c r="F56" s="304" t="str">
        <x:v>Explains the intended claim; not an active testing task</x:v>
      </x:c>
      <x:c r="G56" s="304" t="str">
        <x:v>MERLIN is not proposed to implement SAPIENT merely because the experiment used it. A native integration would require its actual versioned technical specification. The present use is a bounded implementation-context reference.</x:v>
      </x:c>
      <x:c r="H56" s="304" t="str">
        <x:v>Use in the family-level profile content assessment, preserving evidence limits.</x:v>
      </x:c>
      <x:c r="I56" s="304" t="str">
        <x:v>https://www.gov.uk/guidance/sapient-autonomous-sensor-system</x:v>
      </x:c>
    </x:row>
    <x:row r="57" ht="88" customHeight="1">
      <x:c r="A57" s="315" t="str">
        <x:v>S52</x:v>
      </x:c>
      <x:c r="B57" s="304" t="str">
        <x:v>Information technology—Sensor networks: Sensor Network Reference Architecture (SNRA)—Part 4: Entity models</x:v>
      </x:c>
      <x:c r="C57" s="304" t="str">
        <x:v>Principal category-and-coverage reference; not a selected exchange schema</x:v>
      </x:c>
      <x:c r="D57" s="304" t="str">
        <x:v>Published industry reference architecture / entity models</x:v>
      </x:c>
      <x:c r="E57" s="304" t="str">
        <x:v>Official catalog plus public standard preview: introduction, §5, §6.1.1, Figures 1–2 and Table 1; later detailed clauses not inspected.</x:v>
      </x:c>
      <x:c r="F57" s="304" t="str">
        <x:v>Explains the intended claim; not an active testing task</x:v>
      </x:c>
      <x:c r="G57" s="304" t="str">
        <x:v>The introduction states that the series has no compliance requirements of its own. Its present role is a cited architectural reference, while an eventual OGC profile would state its separate implementable requirements. Claims of SNRA certification would therefore be inappropriate.</x:v>
      </x:c>
      <x:c r="H57" s="304" t="str">
        <x:v>Use in the family-level profile content assessment, preserving evidence limits.</x:v>
      </x:c>
      <x:c r="I57" s="304" t="str">
        <x:v>https://www.iso.org/standard/57094.html</x:v>
      </x:c>
    </x:row>
    <x:row r="58" ht="74" customHeight="1">
      <x:c r="A58" s="316" t="str">
        <x:v>S53</x:v>
      </x:c>
      <x:c r="B58" s="317" t="str">
        <x:v>The Interfaces Group MIB</x:v>
      </x:c>
      <x:c r="C58" s="317" t="str">
        <x:v>Complementary research and design precedent</x:v>
      </x:c>
      <x:c r="D58" s="317" t="str">
        <x:v>Selected OGC profile content if approved; original native target only when expressly chosen</x:v>
      </x:c>
      <x:c r="E58" s="317" t="str">
        <x:v>Source edition and provisions: RFC 2863 (2000); evidence: Selected published RFC clauses and interface model; later profile/ISA comparison. Dependencies and exact native compliance groups remain conditional, especially for proprietary standards.</x:v>
      </x:c>
      <x:c r="F58" s="317" t="str">
        <x:v>Documentary analysis, not conformance testing</x:v>
      </x:c>
      <x:c r="G58" s="317" t="str">
        <x:v>RFC interfaces/topology meaning may be translated into SensorML descriptions, but no SNMP/YANG agent has been implemented.</x:v>
      </x:c>
      <x:c r="H58" s="317" t="str">
        <x:v>Revisit only if binding/meaning might change; The RFC specifies an SNMP MIB; MERLIN borrows applicable definitions and does not operate an RFC 2863 agent.</x:v>
      </x:c>
      <x:c r="I58" s="317" t="str">
        <x:v>https://www.rfc-editor.org/rfc/rfc2863.html</x:v>
      </x:c>
    </x:row>
    <x:row r="59" ht="74" customHeight="1">
      <x:c r="A59" s="316" t="str">
        <x:v>S54</x:v>
      </x:c>
      <x:c r="B59" s="317" t="str">
        <x:v>A YANG Data Model for Interface Management</x:v>
      </x:c>
      <x:c r="C59" s="317" t="str">
        <x:v>Complementary research and design precedent</x:v>
      </x:c>
      <x:c r="D59" s="317" t="str">
        <x:v>Selected OGC profile content if approved; original native target only when expressly chosen</x:v>
      </x:c>
      <x:c r="E59" s="317" t="str">
        <x:v>Source edition and provisions: RFC 8343 (2018); evidence: Published RFC §§2–4 and selected YANG definitions inspected in profile/ISA comparison. Dependencies and exact native compliance groups remain conditional, especially for proprietary standards.</x:v>
      </x:c>
      <x:c r="F59" s="317" t="str">
        <x:v>Documentary analysis, not conformance testing</x:v>
      </x:c>
      <x:c r="G59" s="317" t="str">
        <x:v>RFC interfaces/topology meaning may be translated into SensorML descriptions, but no SNMP/YANG agent has been implemented.</x:v>
      </x:c>
      <x:c r="H59" s="317" t="str">
        <x:v>Revisit only if binding/meaning might change; RFC 8343 YANG conformance is not achieved by projecting interface facts into a SWE CharacteristicList.</x:v>
      </x:c>
      <x:c r="I59" s="317" t="str">
        <x:v>https://www.rfc-editor.org/rfc/rfc8343.html</x:v>
      </x:c>
    </x:row>
    <x:row r="60" ht="74" customHeight="1">
      <x:c r="A60" s="316" t="str">
        <x:v>S55</x:v>
      </x:c>
      <x:c r="B60" s="317" t="str">
        <x:v>A YANG Data Model for Network Topologies</x:v>
      </x:c>
      <x:c r="C60" s="317" t="str">
        <x:v>Complementary research and design precedent</x:v>
      </x:c>
      <x:c r="D60" s="317" t="str">
        <x:v>Selected OGC profile content if approved; original native target only when expressly chosen</x:v>
      </x:c>
      <x:c r="E60" s="317" t="str">
        <x:v>Source edition and provisions: RFC 8345 (2018); evidence: Selected RFC §§4.2–4.4.2 and model definitions inspected during main-profile drafting. Dependencies and exact native compliance groups remain conditional, especially for proprietary standards.</x:v>
      </x:c>
      <x:c r="F60" s="317" t="str">
        <x:v>Documentary analysis, not conformance testing</x:v>
      </x:c>
      <x:c r="G60" s="317" t="str">
        <x:v>RFC interfaces/topology meaning may be translated into SensorML descriptions, but no SNMP/YANG agent has been implemented.</x:v>
      </x:c>
      <x:c r="H60" s="317" t="str">
        <x:v>Revisit only if binding/meaning might change; A network topology graph is not automatically the physical sensor equipment tree or the CSAPI resource graph.</x:v>
      </x:c>
      <x:c r="I60" s="317" t="str">
        <x:v>https://www.rfc-editor.org/rfc/rfc8345.html</x:v>
      </x:c>
    </x:row>
    <x:row r="61" ht="74" customHeight="1">
      <x:c r="A61" s="316" t="str">
        <x:v>S56</x:v>
      </x:c>
      <x:c r="B61" s="317" t="str">
        <x:v>The profile Link Relation Type</x:v>
      </x:c>
      <x:c r="C61" s="317" t="str">
        <x:v>Underlying identifier/profile-link syntax; MERLIN reference design is authored</x:v>
      </x:c>
      <x:c r="D61" s="317" t="str">
        <x:v>Selected OGC profile content if approved; original native target only when expressly chosen</x:v>
      </x:c>
      <x:c r="E61" s="317" t="str">
        <x:v>Source edition and provisions: RFC 6906 (2013); evidence: Sections 3–5 inspected in main-profile draft and companion design primer. Dependencies and exact native compliance groups remain conditional, especially for proprietary standards.</x:v>
      </x:c>
      <x:c r="F61" s="317" t="str">
        <x:v>Documentary analysis, not conformance testing</x:v>
      </x:c>
      <x:c r="G61" s="317" t="str">
        <x:v>Selected semantic/reference content, comparative technical evidence, or informative precedent; no additional protocol stack follows by citation.</x:v>
      </x:c>
      <x:c r="H61" s="317" t="str">
        <x:v>Revisit only if binding/meaning might change; A profile link does not automatically validate content, install an ontology or prove conformance to its target.</x:v>
      </x:c>
      <x:c r="I61" s="317" t="str">
        <x:v>https://www.rfc-editor.org/rfc/rfc6906.html</x:v>
      </x:c>
    </x:row>
    <x:row r="62" ht="74" customHeight="1">
      <x:c r="A62" s="316" t="str">
        <x:v>S57</x:v>
      </x:c>
      <x:c r="B62" s="317" t="str">
        <x:v>Uniform Resource Identifier Generic Syntax</x:v>
      </x:c>
      <x:c r="C62" s="317" t="str">
        <x:v>Underlying identifier/profile-link syntax; MERLIN reference design is authored</x:v>
      </x:c>
      <x:c r="D62" s="317" t="str">
        <x:v>Selected OGC profile content if approved; original native target only when expressly chosen</x:v>
      </x:c>
      <x:c r="E62" s="317" t="str">
        <x:v>Source edition and provisions: RFC 3986 (2005); evidence: §§1.1.3 and 3.5 inspected in the design-rationale primer. Dependencies and exact native compliance groups remain conditional, especially for proprietary standards.</x:v>
      </x:c>
      <x:c r="F62" s="317" t="str">
        <x:v>Documentary analysis, not conformance testing</x:v>
      </x:c>
      <x:c r="G62" s="317" t="str">
        <x:v>Selected semantic/reference content, comparative technical evidence, or informative precedent; no additional protocol stack follows by citation.</x:v>
      </x:c>
      <x:c r="H62" s="317" t="str">
        <x:v>Revisit only if binding/meaning might change; Fragment dereferencing, target search, revision stability and inter-resource identity remain profile-authored conventions.</x:v>
      </x:c>
      <x:c r="I62" s="317" t="str">
        <x:v>https://www.rfc-editor.org/rfc/rfc3986.html</x:v>
      </x:c>
    </x:row>
    <x:row r="63" ht="74" customHeight="1">
      <x:c r="A63" s="316" t="str">
        <x:v>S58</x:v>
      </x:c>
      <x:c r="B63" s="317" t="str">
        <x:v>JavaScript Object Notation Pointer</x:v>
      </x:c>
      <x:c r="C63" s="317" t="str">
        <x:v>Underlying identifier/profile-link syntax; MERLIN reference design is authored</x:v>
      </x:c>
      <x:c r="D63" s="317" t="str">
        <x:v>Selected OGC profile content if approved; original native target only when expressly chosen</x:v>
      </x:c>
      <x:c r="E63" s="317" t="str">
        <x:v>Source edition and provisions: RFC 6901 (2013); evidence: §§3–6 inspected in the companion primer. Dependencies and exact native compliance groups remain conditional, especially for proprietary standards.</x:v>
      </x:c>
      <x:c r="F63" s="317" t="str">
        <x:v>Documentary analysis, not conformance testing</x:v>
      </x:c>
      <x:c r="G63" s="317" t="str">
        <x:v>Selected semantic/reference content, comparative technical evidence, or informative precedent; no additional protocol stack follows by citation.</x:v>
      </x:c>
      <x:c r="H63" s="317" t="str">
        <x:v>Revisit only if binding/meaning might change; Do not claim the proposed embedded-id fragment format implements JSON Pointer or uses its media-type fragment registration.</x:v>
      </x:c>
      <x:c r="I63" s="317" t="str">
        <x:v>https://www.rfc-editor.org/rfc/rfc6901.html</x:v>
      </x:c>
    </x:row>
    <x:row r="64" ht="88" customHeight="1">
      <x:c r="A64" s="316" t="str">
        <x:v>S59</x:v>
      </x:c>
      <x:c r="B64" s="317" t="str">
        <x:v>SensorML 3.0 JSON Schema collection</x:v>
      </x:c>
      <x:c r="C64" s="317" t="str">
        <x:v>Selected native SensorML JSON artifacts support approved v0.3.4/v0.3.5 carriers. Additional inspected files: Mode, DescribedObject, AbstractProcess, Settings, commonDefs, sweCommonDefs and DerivedProperty. Full schema closure not recovered.</x:v>
      </x:c>
      <x:c r="D64" s="317" t="str">
        <x:v>Selected OGC profile content if approved; original native target only when expressly chosen</x:v>
      </x:c>
      <x:c r="E64" s="317" t="str">
        <x:v>Source edition and provisions: Accompanies SensorML 3.0 (OGC 23-000); evidence: Selected live repository schema files inspected for legal JSON carriers and native identifying properties. Dependencies and exact native compliance groups remain conditional, especially for proprietary standards.</x:v>
      </x:c>
      <x:c r="F64" s="317" t="str">
        <x:v>Documentary analysis, not conformance testing</x:v>
      </x:c>
      <x:c r="G64" s="317" t="str">
        <x:v>Use only permitted JSON schema carriers together with applicable OGC normative requirements; selected schema inspection is not comprehensive validation.</x:v>
      </x:c>
      <x:c r="H64" s="317" t="str">
        <x:v>Revisit only if binding/meaning might change; Inspection of selected JSON schemas is not a complete implementation validation nor evidence of allowed arbitrary top-level members.</x:v>
      </x:c>
      <x:c r="I64" s="317" t="str">
        <x:v>https://schemas.opengis.net/sensorML/3.0/json/</x:v>
      </x:c>
    </x:row>
    <x:row r="65" ht="75" customHeight="1">
      <x:c r="A65" s="316" t="str">
        <x:v>S60</x:v>
      </x:c>
      <x:c r="B65" s="317" t="str">
        <x:v>CSAPI Part 2 SystemEvent JSON Schema</x:v>
      </x:c>
      <x:c r="C65" s="317" t="str">
        <x:v>Optional SystemEvent supporting schema; not a newly implemented service capability. R18 embedded history retained; operational SystemEvent access/coexistence remains an explicit residual, IG04.</x:v>
      </x:c>
      <x:c r="D65" s="317" t="str">
        <x:v>Selected OGC profile content if approved; original native target only when expressly chosen</x:v>
      </x:c>
      <x:c r="E65" s="317" t="str">
        <x:v>Source edition and provisions: CSAPI Part 2 1.0 schema; evidence: Specific event schema inspected in Power Source binding review. Dependencies and exact native compliance groups remain conditional, especially for proprietary standards.</x:v>
      </x:c>
      <x:c r="F65" s="317" t="str">
        <x:v>Documentary analysis, not conformance testing</x:v>
      </x:c>
      <x:c r="G65" s="317" t="str">
        <x:v>Use only permitted JSON schema carriers together with applicable OGC normative requirements; selected schema inspection is not comprehensive validation.</x:v>
      </x:c>
      <x:c r="H65" s="317" t="str">
        <x:v>Revisit only if binding/meaning might change; Optional SystemEvents class and exact event encoding are separate from SensorML embedded history and ISA Event updates.</x:v>
      </x:c>
      <x:c r="I65" s="317" t="str">
        <x:v>https://schemas.opengis.net/ogcapi/connected-systems/part2/1.0/</x:v>
      </x:c>
    </x:row>
    <x:row r="66" ht="74" customHeight="1">
      <x:c r="A66" s="316" t="str">
        <x:v>S61</x:v>
      </x:c>
      <x:c r="B66" s="317" t="str">
        <x:v>Monitoring and Control MIB for Power and Energy</x:v>
      </x:c>
      <x:c r="C66" s="317" t="str">
        <x:v>Power-domain specialization, comparator, or quantitative donor</x:v>
      </x:c>
      <x:c r="D66" s="317" t="str">
        <x:v>Selected OGC profile content if approved; original native target only when expressly chosen</x:v>
      </x:c>
      <x:c r="E66" s="317" t="str">
        <x:v>Source edition and provisions: RFC 7460 (2015); evidence: Selected §§5 and 9 reviewed in power-domain research. Dependencies and exact native compliance groups remain conditional, especially for proprietary standards.</x:v>
      </x:c>
      <x:c r="F66" s="317" t="str">
        <x:v>Documentary analysis, not conformance testing</x:v>
      </x:c>
      <x:c r="G66" s="317" t="str">
        <x:v>The IETF EMAN information-model donor is distinct from native SNMP/MIB, CIM, Redfish or OMA implementations; any OGC mapping is profile-authored.</x:v>
      </x:c>
      <x:c r="H66" s="317" t="str">
        <x:v>Revisit only if binding/meaning might change; RFC 7460 MIB objects, requirements and units must not be copied wholesale into SWE with a native MIB conformance claim.</x:v>
      </x:c>
      <x:c r="I66" s="317" t="str">
        <x:v>https://www.rfc-editor.org/rfc/rfc7460.html</x:v>
      </x:c>
    </x:row>
    <x:row r="67" ht="74" customHeight="1">
      <x:c r="A67" s="316" t="str">
        <x:v>S62</x:v>
      </x:c>
      <x:c r="B67" s="317" t="str">
        <x:v>Energy Object Context MIB</x:v>
      </x:c>
      <x:c r="C67" s="317" t="str">
        <x:v>Power-domain specialization, comparator, or quantitative donor</x:v>
      </x:c>
      <x:c r="D67" s="317" t="str">
        <x:v>Selected OGC profile content if approved; original native target only when expressly chosen</x:v>
      </x:c>
      <x:c r="E67" s="317" t="str">
        <x:v>Source edition and provisions: RFC 7461 (2015); evidence: Selected §§5–6 and relationship/token definitions inspected by Power Source. Dependencies and exact native compliance groups remain conditional, especially for proprietary standards.</x:v>
      </x:c>
      <x:c r="F67" s="317" t="str">
        <x:v>Documentary analysis, not conformance testing</x:v>
      </x:c>
      <x:c r="G67" s="317" t="str">
        <x:v>The IETF EMAN information-model donor is distinct from native SNMP/MIB, CIM, Redfish or OMA implementations; any OGC mapping is profile-authored.</x:v>
      </x:c>
      <x:c r="H67" s="317" t="str">
        <x:v>Revisit only if binding/meaning might change; Power relationships in SensorML are authored mappings, not native RFC 7461 agent behavior.</x:v>
      </x:c>
      <x:c r="I67" s="317" t="str">
        <x:v>https://www.rfc-editor.org/rfc/rfc7461.html</x:v>
      </x:c>
    </x:row>
    <x:row r="68" ht="75" customHeight="1">
      <x:c r="A68" s="316" t="str">
        <x:v>S63</x:v>
      </x:c>
      <x:c r="B68" s="317" t="str">
        <x:v>CIM_Battery in CIM Schema 2.31</x:v>
      </x:c>
      <x:c r="C68" s="317" t="str">
        <x:v>Power-domain specialization, comparator, or quantitative donor</x:v>
      </x:c>
      <x:c r="D68" s="317" t="str">
        <x:v>Selected OGC profile content if approved; original native target only when expressly chosen</x:v>
      </x:c>
      <x:c r="E68" s="317" t="str">
        <x:v>Source edition and provisions: CIM_Battery 2.31.0 distribution; evidence: Selected published class properties inspected, especially EstimatedRunTime, TimeToFullCharge, HealthPercent. Dependencies and exact native compliance groups remain conditional, especially for proprietary standards.</x:v>
      </x:c>
      <x:c r="F68" s="317" t="str">
        <x:v>Documentary analysis, not conformance testing</x:v>
      </x:c>
      <x:c r="G68" s="317" t="str">
        <x:v>The IETF EMAN information-model donor is distinct from native SNMP/MIB, CIM, Redfish or OMA implementations; any OGC mapping is profile-authored.</x:v>
      </x:c>
      <x:c r="H68" s="317" t="str">
        <x:v>Revisit only if binding/meaning might change; The DISR's retired CIM schema 2.10.1 is not the version inspected and does not confer status on this class.</x:v>
      </x:c>
      <x:c r="I68" s="317" t="str">
        <x:v>https://www.dmtf.org/standards/cim</x:v>
      </x:c>
    </x:row>
    <x:row r="69" ht="74" customHeight="1">
      <x:c r="A69" s="316" t="str">
        <x:v>S64</x:v>
      </x:c>
      <x:c r="B69" s="317" t="str">
        <x:v>Redfish Battery JSON Schema</x:v>
      </x:c>
      <x:c r="C69" s="317" t="str">
        <x:v>Power-domain specialization, comparator, or quantitative donor</x:v>
      </x:c>
      <x:c r="D69" s="317" t="str">
        <x:v>Selected OGC profile content if approved; original native target only when expressly chosen</x:v>
      </x:c>
      <x:c r="E69" s="317" t="str">
        <x:v>Source edition and provisions: Battery schema 1.4.0; evidence: Named versioned schema selected and read in Power Source comparison. Dependencies and exact native compliance groups remain conditional, especially for proprietary standards.</x:v>
      </x:c>
      <x:c r="F69" s="317" t="str">
        <x:v>Documentary analysis, not conformance testing</x:v>
      </x:c>
      <x:c r="G69" s="317" t="str">
        <x:v>The IETF EMAN information-model donor is distinct from native SNMP/MIB, CIM, Redfish or OMA implementations; any OGC mapping is profile-authored.</x:v>
      </x:c>
      <x:c r="H69" s="317" t="str">
        <x:v>Revisit only if binding/meaning might change; The comparison did not establish implementation of a Redfish service or conformance to all referenced schema dependencies.</x:v>
      </x:c>
      <x:c r="I69" s="317" t="str">
        <x:v>https://github.com/DMTF/Redfish-Publications/blob/master/json-schema/Battery.v1_4_0.json</x:v>
      </x:c>
    </x:row>
    <x:row r="70" ht="74" customHeight="1">
      <x:c r="A70" s="316" t="str">
        <x:v>S65</x:v>
      </x:c>
      <x:c r="B70" s="317" t="str">
        <x:v>Redfish BatteryMetrics JSON Schema</x:v>
      </x:c>
      <x:c r="C70" s="317" t="str">
        <x:v>Power-domain specialization, comparator, or quantitative donor</x:v>
      </x:c>
      <x:c r="D70" s="317" t="str">
        <x:v>Selected OGC profile content if approved; original native target only when expressly chosen</x:v>
      </x:c>
      <x:c r="E70" s="317" t="str">
        <x:v>Source edition and provisions: BatteryMetrics schema 1.1.0; evidence: Named versioned schema read in Power Source comparison. Dependencies and exact native compliance groups remain conditional, especially for proprietary standards.</x:v>
      </x:c>
      <x:c r="F70" s="317" t="str">
        <x:v>Documentary analysis, not conformance testing</x:v>
      </x:c>
      <x:c r="G70" s="317" t="str">
        <x:v>The IETF EMAN information-model donor is distinct from native SNMP/MIB, CIM, Redfish or OMA implementations; any OGC mapping is profile-authored.</x:v>
      </x:c>
      <x:c r="H70" s="317" t="str">
        <x:v>Revisit only if binding/meaning might change; Do not mistake this inspected schema revision for the latest complete Redfish standard or a CSAPI-compatible JSON Schema.</x:v>
      </x:c>
      <x:c r="I70" s="317" t="str">
        <x:v>https://github.com/DMTF/Redfish-Publications/blob/master/json-schema/BatteryMetrics.v1_1_0.json</x:v>
      </x:c>
    </x:row>
    <x:row r="71" ht="75" customHeight="1">
      <x:c r="A71" s="316" t="str">
        <x:v>S66</x:v>
      </x:c>
      <x:c r="B71" s="317" t="str">
        <x:v>Redfish PowerDistribution JSON Schema</x:v>
      </x:c>
      <x:c r="C71" s="317" t="str">
        <x:v>Power-domain specialization, comparator, or quantitative donor</x:v>
      </x:c>
      <x:c r="D71" s="317" t="str">
        <x:v>Selected OGC profile content if approved; original native target only when expressly chosen</x:v>
      </x:c>
      <x:c r="E71" s="317" t="str">
        <x:v>Source edition and provisions: PowerDistribution schema 1.4.0; evidence: Named versioned schema read for circuits, outlets and redundancy structures. Dependencies and exact native compliance groups remain conditional, especially for proprietary standards.</x:v>
      </x:c>
      <x:c r="F71" s="317" t="str">
        <x:v>Documentary analysis, not conformance testing</x:v>
      </x:c>
      <x:c r="G71" s="317" t="str">
        <x:v>The IETF EMAN information-model donor is distinct from native SNMP/MIB, CIM, Redfish or OMA implementations; any OGC mapping is profile-authored.</x:v>
      </x:c>
      <x:c r="H71" s="317" t="str">
        <x:v>Revisit only if binding/meaning might change; The selected power recommendation did not adopt full Redfish resource architecture or perform cross-vendor Redfish testing.</x:v>
      </x:c>
      <x:c r="I71" s="317" t="str">
        <x:v>https://github.com/DMTF/Redfish-Publications/blob/master/json-schema/PowerDistribution.v1_4_0.json</x:v>
      </x:c>
    </x:row>
    <x:row r="72" ht="74" customHeight="1">
      <x:c r="A72" s="316" t="str">
        <x:v>S67</x:v>
      </x:c>
      <x:c r="B72" s="317" t="str">
        <x:v>Redfish Resource and Schema Guide</x:v>
      </x:c>
      <x:c r="C72" s="317" t="str">
        <x:v>Power-domain specialization, comparator, or quantitative donor</x:v>
      </x:c>
      <x:c r="D72" s="317" t="str">
        <x:v>Selected OGC profile content if approved; original native target only when expressly chosen</x:v>
      </x:c>
      <x:c r="E72" s="317" t="str">
        <x:v>Source edition and provisions: DSP2046 v2025.2; evidence: Guide metadata and copyright/patent notices examined with named Redfish schemas. Dependencies and exact native compliance groups remain conditional, especially for proprietary standards.</x:v>
      </x:c>
      <x:c r="F72" s="317" t="str">
        <x:v>Documentary analysis, not conformance testing</x:v>
      </x:c>
      <x:c r="G72" s="317" t="str">
        <x:v>The IETF EMAN information-model donor is distinct from native SNMP/MIB, CIM, Redfish or OMA implementations; any OGC mapping is profile-authored.</x:v>
      </x:c>
      <x:c r="H72" s="317" t="str">
        <x:v>Revisit only if binding/meaning might change; A public schema is not blanket license or proof that a SensorML mapping implements Redfish.</x:v>
      </x:c>
      <x:c r="I72" s="317" t="str">
        <x:v>https://www.dmtf.org/standards/redfish</x:v>
      </x:c>
    </x:row>
    <x:row r="73" ht="75" customHeight="1">
      <x:c r="A73" s="316" t="str">
        <x:v>S68</x:v>
      </x:c>
      <x:c r="B73" s="317" t="str">
        <x:v>Lightweight M2M Core Device Object appendix</x:v>
      </x:c>
      <x:c r="C73" s="317" t="str">
        <x:v>Power-domain specialization, comparator, or quantitative donor</x:v>
      </x:c>
      <x:c r="D73" s="317" t="str">
        <x:v>Selected OGC profile content if approved; original native target only when expressly chosen</x:v>
      </x:c>
      <x:c r="E73" s="317" t="str">
        <x:v>Source edition and provisions: Core v1.2.2, Device 3 v1.2; evidence: Dated frozen core specification, Appendix E.4, inspected in Power Source comparison. Dependencies and exact native compliance groups remain conditional, especially for proprietary standards.</x:v>
      </x:c>
      <x:c r="F73" s="317" t="str">
        <x:v>Documentary analysis, not conformance testing</x:v>
      </x:c>
      <x:c r="G73" s="317" t="str">
        <x:v>The IETF EMAN information-model donor is distinct from native SNMP/MIB, CIM, Redfish or OMA implementations; any OGC mapping is profile-authored.</x:v>
      </x:c>
      <x:c r="H73" s="317" t="str">
        <x:v>Revisit only if binding/meaning might change; This is not an adoption of an OMA Lightweight M2M client/server stack or of a live mutable object registry.</x:v>
      </x:c>
      <x:c r="I73" s="317" t="str">
        <x:v>https://www.openmobilealliance.org/release/LightweightM2M/V1_2_2-20240613-A/OMA-TS-LightweightM2M_Core-V1_2_2-20240613-A.pdf</x:v>
      </x:c>
    </x:row>
    <x:row r="74" ht="75" customHeight="1">
      <x:c r="A74" s="316" t="str">
        <x:v>S69</x:v>
      </x:c>
      <x:c r="B74" s="317" t="str">
        <x:v>IETF Intellectual Property Rights guidance</x:v>
      </x:c>
      <x:c r="C74" s="317" t="str">
        <x:v>Open development/rights comparator</x:v>
      </x:c>
      <x:c r="D74" s="317" t="str">
        <x:v>Selected OGC profile content if approved; original native target only when expressly chosen</x:v>
      </x:c>
      <x:c r="E74" s="317" t="str">
        <x:v>Source edition and provisions: Current public guidance accessed 14 Oct 2026; evidence: Selected public document, code-component and patent guidance consulted in Power Source. Dependencies and exact native compliance groups remain conditional, especially for proprietary standards.</x:v>
      </x:c>
      <x:c r="F74" s="317" t="str">
        <x:v>Documentary analysis, not conformance testing</x:v>
      </x:c>
      <x:c r="G74" s="317" t="str">
        <x:v>Selected semantic/reference content, comparative technical evidence, or informative precedent; no additional protocol stack follows by citation.</x:v>
      </x:c>
      <x:c r="H74" s="317" t="str">
        <x:v>Revisit only if binding/meaning might change; Informative legal/organizational guidance; not an engineering interface specification nor a substitute for rights clearance.</x:v>
      </x:c>
      <x:c r="I74" s="317" t="str">
        <x:v>https://www.ietf.org/standards/ipr/</x:v>
      </x:c>
    </x:row>
    <x:row r="75" ht="74" customHeight="1">
      <x:c r="A75" s="316" t="str">
        <x:v>S70</x:v>
      </x:c>
      <x:c r="B75" s="317" t="str">
        <x:v>UCUM License</x:v>
      </x:c>
      <x:c r="C75" s="317" t="str">
        <x:v>Open development/rights comparator</x:v>
      </x:c>
      <x:c r="D75" s="317" t="str">
        <x:v>Selected OGC profile content if approved; original native target only when expressly chosen</x:v>
      </x:c>
      <x:c r="E75" s="317" t="str">
        <x:v>Source edition and provisions: Current license page cited 14 Oct 2026; evidence: License terms consulted in Power Source / foundational research. Dependencies and exact native compliance groups remain conditional, especially for proprietary standards.</x:v>
      </x:c>
      <x:c r="F75" s="317" t="str">
        <x:v>Documentary analysis, not conformance testing</x:v>
      </x:c>
      <x:c r="G75" s="317" t="str">
        <x:v>Selected semantic/reference content, comparative technical evidence, or informative precedent; no additional protocol stack follows by citation.</x:v>
      </x:c>
      <x:c r="H75" s="317" t="str">
        <x:v>Revisit only if binding/meaning might change; License evidence does not establish a new quantity taxonomy or an edition change from the SensorML reference.</x:v>
      </x:c>
      <x:c r="I75" s="317" t="str">
        <x:v>https://ucum.org/license</x:v>
      </x:c>
    </x:row>
    <x:row r="76" ht="75" customHeight="1">
      <x:c r="A76" s="316" t="str">
        <x:v>S71</x:v>
      </x:c>
      <x:c r="B76" s="317" t="str">
        <x:v>IEEE 1451.0-2024 smart transducer common standard</x:v>
      </x:c>
      <x:c r="C76" s="317" t="str">
        <x:v>Candidate transducer-domain semantics; normative clause access pending</x:v>
      </x:c>
      <x:c r="D76" s="317" t="str">
        <x:v>Selected OGC profile content if approved; original native target only when expressly chosen</x:v>
      </x:c>
      <x:c r="E76" s="317" t="str">
        <x:v>Source edition and provisions: IEEE 1451.0-2024; evidence: Official IEEE scope/status; full normative edition NOT obtained; current Playground used as indirect evidence. Dependencies and exact native compliance groups remain conditional, especially for proprietary standards.</x:v>
      </x:c>
      <x:c r="F76" s="317" t="str">
        <x:v>Documentary analysis, not conformance testing</x:v>
      </x:c>
      <x:c r="G76" s="317" t="str">
        <x:v>A future selected IEEE transducer semantic mapping to SensorML/SWE would be a new OGC binding; full IEEE conformance claims need authorized IEEE/ISO text and native service obligations.</x:v>
      </x:c>
      <x:c r="H76" s="317" t="str">
        <x:v>Revisit only if binding/meaning might change; Field cardinalities, normative optionality, exact clauses and 2010 delta remain blocked pending authorized full-standard access.</x:v>
      </x:c>
      <x:c r="I76" s="317" t="str">
        <x:v>https://standards.ieee.org/ieee/1451.0/11001/</x:v>
      </x:c>
    </x:row>
    <x:row r="77" ht="75" customHeight="1">
      <x:c r="A77" s="316" t="str">
        <x:v>S72</x:v>
      </x:c>
      <x:c r="B77" s="317" t="str">
        <x:v>ISO/IEC/IEEE 21450:2010 smart transducer common functions</x:v>
      </x:c>
      <x:c r="C77" s="317" t="str">
        <x:v>Candidate transducer-domain semantics; normative clause access pending</x:v>
      </x:c>
      <x:c r="D77" s="317" t="str">
        <x:v>Selected OGC profile content if approved; original native target only when expressly chosen</x:v>
      </x:c>
      <x:c r="E77" s="317" t="str">
        <x:v>Source edition and provisions: 21450:2010, edition 1; evidence: Official catalogue scope and confirmation, full normative text inaccessible during IEEE Pass 1A. Dependencies and exact native compliance groups remain conditional, especially for proprietary standards.</x:v>
      </x:c>
      <x:c r="F77" s="317" t="str">
        <x:v>Documentary analysis, not conformance testing</x:v>
      </x:c>
      <x:c r="G77" s="317" t="str">
        <x:v>A future selected IEEE transducer semantic mapping to SensorML/SWE would be a new OGC binding; full IEEE conformance claims need authorized IEEE/ISO text and native service obligations.</x:v>
      </x:c>
      <x:c r="H77" s="317" t="str">
        <x:v>Revisit only if binding/meaning might change; Listed Emerging / IC-Emerging in the supplied complete DISR baseline; inherited IEEE 1451.0-2007 entry is Retired.</x:v>
      </x:c>
      <x:c r="I77" s="317" t="str">
        <x:v>https://www.iso.org/standard/54356.html</x:v>
      </x:c>
    </x:row>
    <x:row r="78" ht="75" customHeight="1">
      <x:c r="A78" s="316" t="str">
        <x:v>S73</x:v>
      </x:c>
      <x:c r="B78" s="317" t="str">
        <x:v>ISO/IEC/IEEE 21451-1:2010 NCAP information model</x:v>
      </x:c>
      <x:c r="C78" s="317" t="str">
        <x:v>Candidate transducer-domain semantics; normative clause access pending</x:v>
      </x:c>
      <x:c r="D78" s="317" t="str">
        <x:v>Selected OGC profile content if approved; original native target only when expressly chosen</x:v>
      </x:c>
      <x:c r="E78" s="317" t="str">
        <x:v>Source edition and provisions: 21451-1:2010, edition 1; evidence: Official catalogue scope and 2025 confirmation, full normative edition not inspected. Dependencies and exact native compliance groups remain conditional, especially for proprietary standards.</x:v>
      </x:c>
      <x:c r="F78" s="317" t="str">
        <x:v>Documentary analysis, not conformance testing</x:v>
      </x:c>
      <x:c r="G78" s="317" t="str">
        <x:v>A future selected IEEE transducer semantic mapping to SensorML/SWE would be a new OGC binding; full IEEE conformance claims need authorized IEEE/ISO text and native service obligations.</x:v>
      </x:c>
      <x:c r="H78" s="317" t="str">
        <x:v>Revisit only if binding/meaning might change; Do not misstate it as a complete deployed-system information model or as mandating NCAP runtime for CSAPI.</x:v>
      </x:c>
      <x:c r="I78" s="317" t="str">
        <x:v>https://www.iso.org/standard/54357.html</x:v>
      </x:c>
    </x:row>
    <x:row r="79" ht="74" customHeight="1">
      <x:c r="A79" s="316" t="str">
        <x:v>S74</x:v>
      </x:c>
      <x:c r="B79" s="317" t="str">
        <x:v>ISO/IEC/IEEE 21451-2:2010 digital transducer interface and TEDS</x:v>
      </x:c>
      <x:c r="C79" s="317" t="str">
        <x:v>Candidate transducer-domain semantics; normative clause access pending</x:v>
      </x:c>
      <x:c r="D79" s="317" t="str">
        <x:v>Selected OGC profile content if approved; original native target only when expressly chosen</x:v>
      </x:c>
      <x:c r="E79" s="317" t="str">
        <x:v>Source edition and provisions: 21451-2:2010, edition 1; evidence: Official catalogue scope; full normative tables and requirements not available. Dependencies and exact native compliance groups remain conditional, especially for proprietary standards.</x:v>
      </x:c>
      <x:c r="F79" s="317" t="str">
        <x:v>Documentary analysis, not conformance testing</x:v>
      </x:c>
      <x:c r="G79" s="317" t="str">
        <x:v>A future selected IEEE transducer semantic mapping to SensorML/SWE would be a new OGC binding; full IEEE conformance claims need authorized IEEE/ISO text and native service obligations.</x:v>
      </x:c>
      <x:c r="H79" s="317" t="str">
        <x:v>Revisit only if binding/meaning might change; Published catalogue does not establish the mandatory field mapping or full current transducer-channel vocabulary.</x:v>
      </x:c>
      <x:c r="I79" s="317" t="str">
        <x:v>https://www.iso.org/standard/54367.html</x:v>
      </x:c>
    </x:row>
    <x:row r="80" ht="74" customHeight="1">
      <x:c r="A80" s="316" t="str">
        <x:v>S75</x:v>
      </x:c>
      <x:c r="B80" s="317" t="str">
        <x:v>ISO/IEC/IEEE 21451-4:2010 mixed-mode interface and TEDS</x:v>
      </x:c>
      <x:c r="C80" s="317" t="str">
        <x:v>Candidate transducer-domain semantics; normative clause access pending</x:v>
      </x:c>
      <x:c r="D80" s="317" t="str">
        <x:v>Selected OGC profile content if approved; original native target only when expressly chosen</x:v>
      </x:c>
      <x:c r="E80" s="317" t="str">
        <x:v>Source edition and provisions: 21451-4:2010, edition 1; evidence: Official catalogue scope; detailed mixed-mode normative text not available. Dependencies and exact native compliance groups remain conditional, especially for proprietary standards.</x:v>
      </x:c>
      <x:c r="F80" s="317" t="str">
        <x:v>Documentary analysis, not conformance testing</x:v>
      </x:c>
      <x:c r="G80" s="317" t="str">
        <x:v>A future selected IEEE transducer semantic mapping to SensorML/SWE would be a new OGC binding; full IEEE conformance claims need authorized IEEE/ISO text and native service obligations.</x:v>
      </x:c>
      <x:c r="H80" s="317" t="str">
        <x:v>Revisit only if binding/meaning might change; The applicability to a given MERLIN provider and precise TEDS field overlap requires explicit technical evidence.</x:v>
      </x:c>
      <x:c r="I80" s="317" t="str">
        <x:v>https://www.iso.org/standard/54368.html</x:v>
      </x:c>
    </x:row>
    <x:row r="81" ht="74" customHeight="1">
      <x:c r="A81" s="316" t="str">
        <x:v>S76</x:v>
      </x:c>
      <x:c r="B81" s="317" t="str">
        <x:v>IEEE 1451.1.6 MQTT extension</x:v>
      </x:c>
      <x:c r="C81" s="317" t="str">
        <x:v>Candidate transducer-domain semantics; normative clause access pending</x:v>
      </x:c>
      <x:c r="D81" s="317" t="str">
        <x:v>Selected OGC profile content if approved; original native target only when expressly chosen</x:v>
      </x:c>
      <x:c r="E81" s="317" t="str">
        <x:v>Source edition and provisions: IEEE 1451.1.6-2025; evidence: IEEE publication/status page inspected; full normative clauses not examined. Dependencies and exact native compliance groups remain conditional, especially for proprietary standards.</x:v>
      </x:c>
      <x:c r="F81" s="317" t="str">
        <x:v>Documentary analysis, not conformance testing</x:v>
      </x:c>
      <x:c r="G81" s="317" t="str">
        <x:v>A future selected IEEE transducer semantic mapping to SensorML/SWE would be a new OGC binding; full IEEE conformance claims need authorized IEEE/ISO text and native service obligations.</x:v>
      </x:c>
      <x:c r="H81" s="317" t="str">
        <x:v>Revisit only if binding/meaning might change; It is not an edition replacement for 21451-1 or a reason to make MQTT mandatory in MERLIN.</x:v>
      </x:c>
      <x:c r="I81" s="317" t="str">
        <x:v>https://standards.ieee.org/ieee/1451.1.6/11619/</x:v>
      </x:c>
    </x:row>
    <x:row r="82" ht="75" customHeight="1">
      <x:c r="A82" s="316" t="str">
        <x:v>S77</x:v>
      </x:c>
      <x:c r="B82" s="317" t="str">
        <x:v>IEEE 1451 Playground Meta TEDS</x:v>
      </x:c>
      <x:c r="C82" s="317" t="str">
        <x:v>Candidate transducer-domain semantics; normative clause access pending</x:v>
      </x:c>
      <x:c r="D82" s="317" t="str">
        <x:v>Selected OGC profile content if approved; original native target only when expressly chosen</x:v>
      </x:c>
      <x:c r="E82" s="317" t="str">
        <x:v>Source edition and provisions: Current public Meta TEDS form, inspected 14 Oct 2026; evidence: Public implementation-linked form, apparent §6.4 Table 13; NIST describes playground's validation purpose. Dependencies and exact native compliance groups remain conditional, especially for proprietary standards.</x:v>
      </x:c>
      <x:c r="F82" s="317" t="str">
        <x:v>Documentary analysis, not conformance testing</x:v>
      </x:c>
      <x:c r="G82" s="317" t="str">
        <x:v>A future selected IEEE transducer semantic mapping to SensorML/SWE would be a new OGC binding; full IEEE conformance claims need authorized IEEE/ISO text and native service obligations.</x:v>
      </x:c>
      <x:c r="H82" s="317" t="str">
        <x:v>Revisit only if binding/meaning might change; Playground interface is secondary to full normative text for exact field definitions, requirements and permitted structures.</x:v>
      </x:c>
      <x:c r="I82" s="317" t="str">
        <x:v>https://iml.ubi.pt/playground/docs/ieee1451/teds/meta-teds/</x:v>
      </x:c>
    </x:row>
    <x:row r="83" ht="75" customHeight="1">
      <x:c r="A83" s="316" t="str">
        <x:v>S78</x:v>
      </x:c>
      <x:c r="B83" s="317" t="str">
        <x:v>IEEE 1451 Playground TransducerChannel TEDS</x:v>
      </x:c>
      <x:c r="C83" s="317" t="str">
        <x:v>Candidate transducer-domain semantics; normative clause access pending</x:v>
      </x:c>
      <x:c r="D83" s="317" t="str">
        <x:v>Selected OGC profile content if approved; original native target only when expressly chosen</x:v>
      </x:c>
      <x:c r="E83" s="317" t="str">
        <x:v>Source edition and provisions: Current public channel-TEDS form, inspected 14 Oct 2026; evidence: Public form with apparent §6.5/Table 19 and detailed candidate fields; full standard missing. Dependencies and exact native compliance groups remain conditional, especially for proprietary standards.</x:v>
      </x:c>
      <x:c r="F83" s="317" t="str">
        <x:v>Documentary analysis, not conformance testing</x:v>
      </x:c>
      <x:c r="G83" s="317" t="str">
        <x:v>A future selected IEEE transducer semantic mapping to SensorML/SWE would be a new OGC binding; full IEEE conformance claims need authorized IEEE/ISO text and native service obligations.</x:v>
      </x:c>
      <x:c r="H83" s="317" t="str">
        <x:v>Revisit only if binding/meaning might change; The form cannot resolve conditional requirements, cardinalities or 2010-to-2024 changes alone.</x:v>
      </x:c>
      <x:c r="I83" s="317" t="str">
        <x:v>https://iml.ubi.pt/playground/docs/ieee1451/teds/transducer-channel-teds/</x:v>
      </x:c>
    </x:row>
    <x:row r="84" ht="75" customHeight="1">
      <x:c r="A84" s="316" t="str">
        <x:v>S79</x:v>
      </x:c>
      <x:c r="B84" s="317" t="str">
        <x:v>IEEE 1451 Playground Optional TEDS</x:v>
      </x:c>
      <x:c r="C84" s="317" t="str">
        <x:v>Candidate transducer-domain semantics; normative clause access pending</x:v>
      </x:c>
      <x:c r="D84" s="317" t="str">
        <x:v>Selected OGC profile content if approved; original native target only when expressly chosen</x:v>
      </x:c>
      <x:c r="E84" s="317" t="str">
        <x:v>Source edition and provisions: Public optional-TEDS pages, inspected 14 Oct 2026; evidence: Public descriptions of calibration, frequency response, identification, location, security and time-sync TEDS. Dependencies and exact native compliance groups remain conditional, especially for proprietary standards.</x:v>
      </x:c>
      <x:c r="F84" s="317" t="str">
        <x:v>Documentary analysis, not conformance testing</x:v>
      </x:c>
      <x:c r="G84" s="317" t="str">
        <x:v>A future selected IEEE transducer semantic mapping to SensorML/SWE would be a new OGC binding; full IEEE conformance claims need authorized IEEE/ISO text and native service obligations.</x:v>
      </x:c>
      <x:c r="H84" s="317" t="str">
        <x:v>Revisit only if binding/meaning might change; Transfer Function label and some mandatory-status descriptions require the licensed specification to resolve.</x:v>
      </x:c>
      <x:c r="I84" s="317" t="str">
        <x:v>https://iml.ubi.pt/playground/docs/ieee1451/teds/optional-teds/</x:v>
      </x:c>
    </x:row>
    <x:row r="85" ht="75" customHeight="1">
      <x:c r="A85" s="316" t="str">
        <x:v>S80</x:v>
      </x:c>
      <x:c r="B85" s="317" t="str">
        <x:v>IEEE 1451 Playground PHY TEDS</x:v>
      </x:c>
      <x:c r="C85" s="317" t="str">
        <x:v>Candidate transducer-domain semantics; normative clause access pending</x:v>
      </x:c>
      <x:c r="D85" s="317" t="str">
        <x:v>Selected OGC profile content if approved; original native target only when expressly chosen</x:v>
      </x:c>
      <x:c r="E85" s="317" t="str">
        <x:v>Source edition and provisions: Public PHY-TEDS page, inspected 14 Oct 2026; evidence: Public page visibly cites a family-specific 1451.5-2007 clause. Dependencies and exact native compliance groups remain conditional, especially for proprietary standards.</x:v>
      </x:c>
      <x:c r="F85" s="317" t="str">
        <x:v>Documentary analysis, not conformance testing</x:v>
      </x:c>
      <x:c r="G85" s="317" t="str">
        <x:v>A future selected IEEE transducer semantic mapping to SensorML/SWE would be a new OGC binding; full IEEE conformance claims need authorized IEEE/ISO text and native service obligations.</x:v>
      </x:c>
      <x:c r="H85" s="317" t="str">
        <x:v>Revisit only if binding/meaning might change; Do not claim PHY TEDS is universally mandatory in IEEE 1451.0-2024 based on a tutorial page.</x:v>
      </x:c>
      <x:c r="I85" s="317" t="str">
        <x:v>https://iml.ubi.pt/playground/docs/ieee1451/teds/phy-teds/</x:v>
      </x:c>
    </x:row>
    <x:row r="86" ht="75" customHeight="1">
      <x:c r="A86" s="316" t="str">
        <x:v>S81</x:v>
      </x:c>
      <x:c r="B86" s="317" t="str">
        <x:v>NIST announcement of IEEE 1451.0-2024</x:v>
      </x:c>
      <x:c r="C86" s="317" t="str">
        <x:v>Candidate transducer-domain semantics; normative clause access pending</x:v>
      </x:c>
      <x:c r="D86" s="317" t="str">
        <x:v>Selected OGC profile content if approved; original native target only when expressly chosen</x:v>
      </x:c>
      <x:c r="E86" s="317" t="str">
        <x:v>Source edition and provisions: News release 2024-07-01; evidence: First-party NIST publication reviewed for scope, leadership and edition significance. Dependencies and exact native compliance groups remain conditional, especially for proprietary standards.</x:v>
      </x:c>
      <x:c r="F86" s="317" t="str">
        <x:v>Documentary analysis, not conformance testing</x:v>
      </x:c>
      <x:c r="G86" s="317" t="str">
        <x:v>A future selected IEEE transducer semantic mapping to SensorML/SWE would be a new OGC binding; full IEEE conformance claims need authorized IEEE/ISO text and native service obligations.</x:v>
      </x:c>
      <x:c r="H86" s="317" t="str">
        <x:v>Revisit only if binding/meaning might change; Public announcement does not reproduce a 400-page standard or establish field-level normative duties.</x:v>
      </x:c>
      <x:c r="I86" s="317" t="str">
        <x:v>https://www.nist.gov/news-events/news/2024/07/ieee-14510-2024-standard-published-under-leadership-nist-researchers</x:v>
      </x:c>
    </x:row>
    <x:row r="87" ht="74" customHeight="1">
      <x:c r="A87" s="316" t="str">
        <x:v>S82</x:v>
      </x:c>
      <x:c r="B87" s="317" t="str">
        <x:v>NIST announcement of IEEE 1451 Playground</x:v>
      </x:c>
      <x:c r="C87" s="317" t="str">
        <x:v>Candidate transducer-domain semantics; normative clause access pending</x:v>
      </x:c>
      <x:c r="D87" s="317" t="str">
        <x:v>Selected OGC profile content if approved; original native target only when expressly chosen</x:v>
      </x:c>
      <x:c r="E87" s="317" t="str">
        <x:v>Source edition and provisions: News release 2024-12-01; evidence: First-party NIST publication explaining Playground and intended validation role. Dependencies and exact native compliance groups remain conditional, especially for proprietary standards.</x:v>
      </x:c>
      <x:c r="F87" s="317" t="str">
        <x:v>Documentary analysis, not conformance testing</x:v>
      </x:c>
      <x:c r="G87" s="317" t="str">
        <x:v>A future selected IEEE transducer semantic mapping to SensorML/SWE would be a new OGC binding; full IEEE conformance claims need authorized IEEE/ISO text and native service obligations.</x:v>
      </x:c>
      <x:c r="H87" s="317" t="str">
        <x:v>Revisit only if binding/meaning might change; It does not verify mandatory versus optional requirements hidden in the licensed standard.</x:v>
      </x:c>
      <x:c r="I87" s="317" t="str">
        <x:v>https://www.nist.gov/news-events/news/2024/12/nist-and-university-researchers-present-online-tool-support-ieee-standards</x:v>
      </x:c>
    </x:row>
    <x:row r="88" ht="75" customHeight="1">
      <x:c r="A88" s="316" t="str">
        <x:v>S83</x:v>
      </x:c>
      <x:c r="B88" s="317" t="str">
        <x:v>IEEE 1451.0-based WoT ontology paper</x:v>
      </x:c>
      <x:c r="C88" s="317" t="str">
        <x:v>Candidate transducer-domain semantics; normative clause access pending</x:v>
      </x:c>
      <x:c r="D88" s="317" t="str">
        <x:v>Selected OGC profile content if approved; original native target only when expressly chosen</x:v>
      </x:c>
      <x:c r="E88" s="317" t="str">
        <x:v>Source edition and provisions: 2025 publication from IECON 2024; evidence: Current technical paper directly assessed in IEEE public-source workstream. Dependencies and exact native compliance groups remain conditional, especially for proprietary standards.</x:v>
      </x:c>
      <x:c r="F88" s="317" t="str">
        <x:v>Documentary analysis, not conformance testing</x:v>
      </x:c>
      <x:c r="G88" s="317" t="str">
        <x:v>A future selected IEEE transducer semantic mapping to SensorML/SWE would be a new OGC binding; full IEEE conformance claims need authorized IEEE/ISO text and native service obligations.</x:v>
      </x:c>
      <x:c r="H88" s="317" t="str">
        <x:v>Revisit only if binding/meaning might change; The result is not a published IEEE-to-SensorML or IEEE-to-CSAPI profile, nor IEEE implementation by MERLIN.</x:v>
      </x:c>
      <x:c r="I88" s="317" t="str">
        <x:v>https://www.nist.gov/publications/ieee-14510-based-web-thing-wot-ontology</x:v>
      </x:c>
    </x:row>
    <x:row r="89" ht="74" customHeight="1">
      <x:c r="A89" s="316" t="str">
        <x:v>S84</x:v>
      </x:c>
      <x:c r="B89" s="317" t="str">
        <x:v>A Unifying Standard for Interfacing Transducers to Networks</x:v>
      </x:c>
      <x:c r="C89" s="317" t="str">
        <x:v>Candidate transducer-domain semantics; normative clause access pending</x:v>
      </x:c>
      <x:c r="D89" s="317" t="str">
        <x:v>Selected OGC profile content if approved; original native target only when expressly chosen</x:v>
      </x:c>
      <x:c r="E89" s="317" t="str">
        <x:v>Source edition and provisions: Technical paper (2005); evidence: NIST engineering literature assessed for historical 1451.0 design intent. Dependencies and exact native compliance groups remain conditional, especially for proprietary standards.</x:v>
      </x:c>
      <x:c r="F89" s="317" t="str">
        <x:v>Documentary analysis, not conformance testing</x:v>
      </x:c>
      <x:c r="G89" s="317" t="str">
        <x:v>A future selected IEEE transducer semantic mapping to SensorML/SWE would be a new OGC binding; full IEEE conformance claims need authorized IEEE/ISO text and native service obligations.</x:v>
      </x:c>
      <x:c r="H89" s="317" t="str">
        <x:v>Revisit only if binding/meaning might change; Historical terminology and optionality must not be presented as exact current 2024 normative clauses.</x:v>
      </x:c>
      <x:c r="I89" s="317" t="str">
        <x:v>https://www.nist.gov/publications/unifying-standard-interfacing-transducers-networks-ieee-14510</x:v>
      </x:c>
    </x:row>
    <x:row r="90" ht="74" customHeight="1">
      <x:c r="A90" s="316" t="str">
        <x:v>S85</x:v>
      </x:c>
      <x:c r="B90" s="317" t="str">
        <x:v>ISA White Paper 6.0</x:v>
      </x:c>
      <x:c r="C90" s="317" t="str">
        <x:v>Independent ISA comparison; selected semantics only, no native runtime requirement</x:v>
      </x:c>
      <x:c r="D90" s="317" t="str">
        <x:v>Selected OGC profile content if approved; original native target only when expressly chosen</x:v>
      </x:c>
      <x:c r="E90" s="317" t="str">
        <x:v>Source edition and provisions: 6.0r2 (2023-10-31); evidence: Full user-supplied PDF read in ISA Phase 1/2; governance and design sections. Dependencies and exact native compliance groups remain conditional, especially for proprietary standards.</x:v>
      </x:c>
      <x:c r="F90" s="317" t="str">
        <x:v>Documentary analysis, not conformance testing</x:v>
      </x:c>
      <x:c r="G90" s="317" t="str">
        <x:v>The target here is not an ISA runtime. Native ISA component/controller/network conformance would require the exact 6.0 document-set obligations, not a sensor property crosswalk.</x:v>
      </x:c>
      <x:c r="H90" s="317" t="str">
        <x:v>Revisit only if binding/meaning might change; Informative architecture document does not itself define OGC binding rules or prove ISA development lacked prior-art study.</x:v>
      </x:c>
      <x:c r="I90" s="317" t="str">
        <x:v>local:ISA_White_Paper-6.0r2.pdf</x:v>
      </x:c>
    </x:row>
    <x:row r="91" ht="74" customHeight="1">
      <x:c r="A91" s="316" t="str">
        <x:v>S86</x:v>
      </x:c>
      <x:c r="B91" s="317" t="str">
        <x:v>ISA Software Design Document 6.0</x:v>
      </x:c>
      <x:c r="C91" s="317" t="str">
        <x:v>Independent ISA comparison; selected semantics only, no native runtime requirement</x:v>
      </x:c>
      <x:c r="D91" s="317" t="str">
        <x:v>Selected OGC profile content if approved; original native target only when expressly chosen</x:v>
      </x:c>
      <x:c r="E91" s="317" t="str">
        <x:v>Source edition and provisions: 6.0r5 (2023-10-31); evidence: Full user-supplied PDF inspected, esp. §4.2.2 composition. Dependencies and exact native compliance groups remain conditional, especially for proprietary standards.</x:v>
      </x:c>
      <x:c r="F91" s="317" t="str">
        <x:v>Documentary analysis, not conformance testing</x:v>
      </x:c>
      <x:c r="G91" s="317" t="str">
        <x:v>The target here is not an ISA runtime. Native ISA component/controller/network conformance would require the exact 6.0 document-set obligations, not a sensor property crosswalk.</x:v>
      </x:c>
      <x:c r="H91" s="317" t="str">
        <x:v>Revisit only if binding/meaning might change; ISA composition requires its own native runtime; copying visibility labels into SensorML would be an authored adaptation.</x:v>
      </x:c>
      <x:c r="I91" s="317" t="str">
        <x:v>local:ISA_Software_Design_Document-6.0r5.pdf</x:v>
      </x:c>
    </x:row>
    <x:row r="92" ht="75" customHeight="1">
      <x:c r="A92" s="316" t="str">
        <x:v>S87</x:v>
      </x:c>
      <x:c r="B92" s="317" t="str">
        <x:v>ISA Data Model Specification 6.0</x:v>
      </x:c>
      <x:c r="C92" s="317" t="str">
        <x:v>ISA component/capability semantics inform approved identity/mode mappings; no native ISA runtime. Component Capability Description used as coherence comparator; no copied universal CCD group.</x:v>
      </x:c>
      <x:c r="D92" s="317" t="str">
        <x:v>Selected OGC profile content if approved; original native target only when expressly chosen</x:v>
      </x:c>
      <x:c r="E92" s="317" t="str">
        <x:v>Source edition and provisions: 6.0r12 (2023-10-31); evidence: Full PDF assessed in Phase 1/2, including CCD, Config/Status, commands, observables, resource descriptor. Dependencies and exact native compliance groups remain conditional, especially for proprietary standards.</x:v>
      </x:c>
      <x:c r="F92" s="317" t="str">
        <x:v>Documentary analysis, not conformance testing</x:v>
      </x:c>
      <x:c r="G92" s="317" t="str">
        <x:v>The target here is not an ISA runtime. Native ISA component/controller/network conformance would require the exact 6.0 document-set obligations, not a sensor property crosswalk.</x:v>
      </x:c>
      <x:c r="H92" s="317" t="str">
        <x:v>Revisit only if binding/meaning might change; A conformant ISA implementation needs exact ISA message/codec requirements beyond translating a set of labels.</x:v>
      </x:c>
      <x:c r="I92" s="317" t="str">
        <x:v>local:ISA_Data_Model_Specification-6.0r12.pdf</x:v>
      </x:c>
    </x:row>
    <x:row r="93" ht="75" customHeight="1">
      <x:c r="A93" s="316" t="str">
        <x:v>S88</x:v>
      </x:c>
      <x:c r="B93" s="317" t="str">
        <x:v>ISA Component Requirements 6.0</x:v>
      </x:c>
      <x:c r="C93" s="317" t="str">
        <x:v>ISA readiness and command distinctions inform approved R12 and mode/product interpretation. CMPT-L-0072: command ready is enabled, not necessarily available; no universal readiness flag added.</x:v>
      </x:c>
      <x:c r="D93" s="317" t="str">
        <x:v>Selected OGC profile content if approved; original native target only when expressly chosen</x:v>
      </x:c>
      <x:c r="E93" s="317" t="str">
        <x:v>Source edition and provisions: 6.0r4 (2023-10-31); evidence: Full PDF checked for mandatory behavior and ready/reporting semantics in Phase 2. Dependencies and exact native compliance groups remain conditional, especially for proprietary standards.</x:v>
      </x:c>
      <x:c r="F93" s="317" t="str">
        <x:v>Documentary analysis, not conformance testing</x:v>
      </x:c>
      <x:c r="G93" s="317" t="str">
        <x:v>The target here is not an ISA runtime. Native ISA component/controller/network conformance would require the exact 6.0 document-set obligations, not a sensor property crosswalk.</x:v>
      </x:c>
      <x:c r="H93" s="317" t="str">
        <x:v>Revisit only if binding/meaning might change; Applies only to native ISA component obligations; OGC streams expose different live/state semantics.</x:v>
      </x:c>
      <x:c r="I93" s="317" t="str">
        <x:v>local:ISA_Component_Requirements-6.0r4.pdf</x:v>
      </x:c>
    </x:row>
    <x:row r="94" ht="74" customHeight="1">
      <x:c r="A94" s="316" t="str">
        <x:v>S89</x:v>
      </x:c>
      <x:c r="B94" s="317" t="str">
        <x:v>ISA Interface Control Document 6.0</x:v>
      </x:c>
      <x:c r="C94" s="317" t="str">
        <x:v>Independent ISA comparison; selected semantics only, no native runtime requirement</x:v>
      </x:c>
      <x:c r="D94" s="317" t="str">
        <x:v>Selected OGC profile content if approved; original native target only when expressly chosen</x:v>
      </x:c>
      <x:c r="E94" s="317" t="str">
        <x:v>Source edition and provisions: 6.0r5 (2023-10-31); evidence: User-supplied PDF examined for interface and wire-communication obligations. Dependencies and exact native compliance groups remain conditional, especially for proprietary standards.</x:v>
      </x:c>
      <x:c r="F94" s="317" t="str">
        <x:v>Documentary analysis, not conformance testing</x:v>
      </x:c>
      <x:c r="G94" s="317" t="str">
        <x:v>The target here is not an ISA runtime. Native ISA component/controller/network conformance would require the exact 6.0 document-set obligations, not a sensor property crosswalk.</x:v>
      </x:c>
      <x:c r="H94" s="317" t="str">
        <x:v>Revisit only if binding/meaning might change; No ISA transport added to MERLIN merely because information semantics are useful.</x:v>
      </x:c>
      <x:c r="I94" s="317" t="str">
        <x:v>local:ISA_Interface_Control_Document-6.0r5.pdf</x:v>
      </x:c>
    </x:row>
    <x:row r="95" ht="74" customHeight="1">
      <x:c r="A95" s="316" t="str">
        <x:v>S90</x:v>
      </x:c>
      <x:c r="B95" s="317" t="str">
        <x:v>ISA Data Model Topics 6.0</x:v>
      </x:c>
      <x:c r="C95" s="317" t="str">
        <x:v>ISA assignment/actuation and correction/recall/resolution/track distinctions reflected in approved guidance. R11 v0.3.5 preserves source semantics; no cross-donor universal lineage binding.</x:v>
      </x:c>
      <x:c r="D95" s="317" t="str">
        <x:v>Selected OGC profile content if approved; original native target only when expressly chosen</x:v>
      </x:c>
      <x:c r="E95" s="317" t="str">
        <x:v>Source edition and provisions: 6.0r2 (2023-10-31); evidence: Full document reviewed for mutability, event updates and resource descriptors. Dependencies and exact native compliance groups remain conditional, especially for proprietary standards.</x:v>
      </x:c>
      <x:c r="F95" s="317" t="str">
        <x:v>Documentary analysis, not conformance testing</x:v>
      </x:c>
      <x:c r="G95" s="317" t="str">
        <x:v>The target here is not an ISA runtime. Native ISA component/controller/network conformance would require the exact 6.0 document-set obligations, not a sensor property crosswalk.</x:v>
      </x:c>
      <x:c r="H95" s="317" t="str">
        <x:v>Revisit only if binding/meaning might change; Its concepts do not replace SensorML Settings, CSAPI Commands or the distinct SystemEvent lifecycle resource.</x:v>
      </x:c>
      <x:c r="I95" s="317" t="str">
        <x:v>local:ISA_Data_Model_Topics-6.0r2.pdf</x:v>
      </x:c>
    </x:row>
    <x:row r="96" ht="75" customHeight="1">
      <x:c r="A96" s="316" t="str">
        <x:v>S91</x:v>
      </x:c>
      <x:c r="B96" s="317" t="str">
        <x:v>ISA Controller Requirements 6.0</x:v>
      </x:c>
      <x:c r="C96" s="317" t="str">
        <x:v>Independent ISA comparison; selected semantics only, no native runtime requirement</x:v>
      </x:c>
      <x:c r="D96" s="317" t="str">
        <x:v>Selected OGC profile content if approved; original native target only when expressly chosen</x:v>
      </x:c>
      <x:c r="E96" s="317" t="str">
        <x:v>Source edition and provisions: 6.0r4 (2023-10-31); evidence: Complete PDF supplied and reviewed in Phase 1; not re-audited clause-by-clause in Phase 2. Dependencies and exact native compliance groups remain conditional, especially for proprietary standards.</x:v>
      </x:c>
      <x:c r="F96" s="317" t="str">
        <x:v>Documentary analysis, not conformance testing</x:v>
      </x:c>
      <x:c r="G96" s="317" t="str">
        <x:v>The target here is not an ISA runtime. Native ISA component/controller/network conformance would require the exact 6.0 document-set obligations, not a sensor property crosswalk.</x:v>
      </x:c>
      <x:c r="H96" s="317" t="str">
        <x:v>Revisit only if binding/meaning might change; Informative for architecture comparison; MERLIN neither deploys ISA Controller nor promises its requirements.</x:v>
      </x:c>
      <x:c r="I96" s="317" t="str">
        <x:v>local:ISA_Controller_Requirements-6.0r4.pdf</x:v>
      </x:c>
    </x:row>
    <x:row r="97" ht="74" customHeight="1">
      <x:c r="A97" s="316" t="str">
        <x:v>S92</x:v>
      </x:c>
      <x:c r="B97" s="317" t="str">
        <x:v>ISA Introductory Guide 6.0</x:v>
      </x:c>
      <x:c r="C97" s="317" t="str">
        <x:v>Independent ISA comparison; selected semantics only, no native runtime requirement</x:v>
      </x:c>
      <x:c r="D97" s="317" t="str">
        <x:v>Selected OGC profile content if approved; original native target only when expressly chosen</x:v>
      </x:c>
      <x:c r="E97" s="317" t="str">
        <x:v>Source edition and provisions: 6.0r2 (2023-10-31); evidence: Entire guide supplied and reviewed for terminology and introduction. Dependencies and exact native compliance groups remain conditional, especially for proprietary standards.</x:v>
      </x:c>
      <x:c r="F97" s="317" t="str">
        <x:v>Documentary analysis, not conformance testing</x:v>
      </x:c>
      <x:c r="G97" s="317" t="str">
        <x:v>The target here is not an ISA runtime. Native ISA component/controller/network conformance would require the exact 6.0 document-set obligations, not a sensor property crosswalk.</x:v>
      </x:c>
      <x:c r="H97" s="317" t="str">
        <x:v>Revisit only if binding/meaning might change; Introductory prose does not override the normative requirements or demonstrate production deployment of any named vendor.</x:v>
      </x:c>
      <x:c r="I97" s="317" t="str">
        <x:v>local:ISA_Introductory_Guide-6.0r2.pdf</x:v>
      </x:c>
    </x:row>
    <x:row r="98" ht="74" customHeight="1">
      <x:c r="A98" s="316" t="str">
        <x:v>S93</x:v>
      </x:c>
      <x:c r="B98" s="317" t="str">
        <x:v>ISA Data Query Language Users Guide 6.0</x:v>
      </x:c>
      <x:c r="C98" s="317" t="str">
        <x:v>Independent ISA comparison; selected semantics only, no native runtime requirement</x:v>
      </x:c>
      <x:c r="D98" s="317" t="str">
        <x:v>Selected OGC profile content if approved; original native target only when expressly chosen</x:v>
      </x:c>
      <x:c r="E98" s="317" t="str">
        <x:v>Source edition and provisions: 6.0r4 (2023-10-31); evidence: Full guide supplied; examined primarily for data-discovery/query architecture. Dependencies and exact native compliance groups remain conditional, especially for proprietary standards.</x:v>
      </x:c>
      <x:c r="F98" s="317" t="str">
        <x:v>Documentary analysis, not conformance testing</x:v>
      </x:c>
      <x:c r="G98" s="317" t="str">
        <x:v>The target here is not an ISA runtime. Native ISA component/controller/network conformance would require the exact 6.0 document-set obligations, not a sensor property crosswalk.</x:v>
      </x:c>
      <x:c r="H98" s="317" t="str">
        <x:v>Revisit only if binding/meaning might change; Not selected as an application-facing MERLIN query language and not a standard sensor-domain vocabulary.</x:v>
      </x:c>
      <x:c r="I98" s="317" t="str">
        <x:v>local:ISA_Data_Query_Language_Users_Guide-6.0r4.pdf</x:v>
      </x:c>
    </x:row>
    <x:row r="99" ht="74" customHeight="1">
      <x:c r="A99" s="316" t="str">
        <x:v>S94</x:v>
      </x:c>
      <x:c r="B99" s="317" t="str">
        <x:v>ISA IPL3 Usage Guide 6.0</x:v>
      </x:c>
      <x:c r="C99" s="317" t="str">
        <x:v>Independent ISA comparison; selected semantics only, no native runtime requirement</x:v>
      </x:c>
      <x:c r="D99" s="317" t="str">
        <x:v>Selected OGC profile content if approved; original native target only when expressly chosen</x:v>
      </x:c>
      <x:c r="E99" s="317" t="str">
        <x:v>Source edition and provisions: 6.0r4 (2023-10-31); evidence: Complete guide supplied and included in assessment; targeted contextual review. Dependencies and exact native compliance groups remain conditional, especially for proprietary standards.</x:v>
      </x:c>
      <x:c r="F99" s="317" t="str">
        <x:v>Documentary analysis, not conformance testing</x:v>
      </x:c>
      <x:c r="G99" s="317" t="str">
        <x:v>The target here is not an ISA runtime. Native ISA component/controller/network conformance would require the exact 6.0 document-set obligations, not a sensor property crosswalk.</x:v>
      </x:c>
      <x:c r="H99" s="317" t="str">
        <x:v>Revisit only if binding/meaning might change; This study did not claim clause-level adoption or execution testing of native IPL3 obligations.</x:v>
      </x:c>
      <x:c r="I99" s="317" t="str">
        <x:v>local:ISA_IPL3_Usage_Guide-6.0r4.pdf</x:v>
      </x:c>
    </x:row>
    <x:row r="100" ht="74" customHeight="1">
      <x:c r="A100" s="316" t="str">
        <x:v>S95</x:v>
      </x:c>
      <x:c r="B100" s="317" t="str">
        <x:v>ISA Certificate Usage Guide 6.0</x:v>
      </x:c>
      <x:c r="C100" s="317" t="str">
        <x:v>Independent ISA comparison; selected semantics only, no native runtime requirement</x:v>
      </x:c>
      <x:c r="D100" s="317" t="str">
        <x:v>Selected OGC profile content if approved; original native target only when expressly chosen</x:v>
      </x:c>
      <x:c r="E100" s="317" t="str">
        <x:v>Source edition and provisions: 6.0r2 (2023-10-31); evidence: Complete PDF supplied; reviewed for architecture/security context. Dependencies and exact native compliance groups remain conditional, especially for proprietary standards.</x:v>
      </x:c>
      <x:c r="F100" s="317" t="str">
        <x:v>Documentary analysis, not conformance testing</x:v>
      </x:c>
      <x:c r="G100" s="317" t="str">
        <x:v>The target here is not an ISA runtime. Native ISA component/controller/network conformance would require the exact 6.0 document-set obligations, not a sensor property crosswalk.</x:v>
      </x:c>
      <x:c r="H100" s="317" t="str">
        <x:v>Revisit only if binding/meaning might change; Does not establish sensor-information semantics or a MERLIN authentication requirement.</x:v>
      </x:c>
      <x:c r="I100" s="317" t="str">
        <x:v>local:ISA_Certificate_Usage_Guide-6.0r2.pdf</x:v>
      </x:c>
    </x:row>
    <x:row r="101" ht="74" customHeight="1">
      <x:c r="A101" s="316" t="str">
        <x:v>S96</x:v>
      </x:c>
      <x:c r="B101" s="317" t="str">
        <x:v>On the Difference between Information Models and Data Models</x:v>
      </x:c>
      <x:c r="C101" s="317" t="str">
        <x:v>Complementary research and design precedent</x:v>
      </x:c>
      <x:c r="D101" s="317" t="str">
        <x:v>Selected OGC profile content if approved; original native target only when expressly chosen</x:v>
      </x:c>
      <x:c r="E101" s="317" t="str">
        <x:v>Source edition and provisions: RFC 3444 (2003); evidence: Published Informational RFC §§2–3 reviewed during ISA Phase 2. Dependencies and exact native compliance groups remain conditional, especially for proprietary standards.</x:v>
      </x:c>
      <x:c r="F101" s="317" t="str">
        <x:v>Documentary analysis, not conformance testing</x:v>
      </x:c>
      <x:c r="G101" s="317" t="str">
        <x:v>Selected semantic/reference content, comparative technical evidence, or informative precedent; no additional protocol stack follows by citation.</x:v>
      </x:c>
      <x:c r="H101" s="317" t="str">
        <x:v>Revisit only if binding/meaning might change; Citing RFC 3444 does not turn borrowed ISA/EMAN terminology into native implementation of either stack.</x:v>
      </x:c>
      <x:c r="I101" s="317" t="str">
        <x:v>https://www.rfc-editor.org/rfc/rfc3444.html</x:v>
      </x:c>
    </x:row>
    <x:row r="102" ht="75" customHeight="1">
      <x:c r="A102" s="316" t="str">
        <x:v>S97</x:v>
      </x:c>
      <x:c r="B102" s="317" t="str">
        <x:v>OGC Observations Measurements and Samples 3.0</x:v>
      </x:c>
      <x:c r="C102" s="317" t="str">
        <x:v>SOURCE GATE CLOSED; semantic contributions partly applied</x:v>
      </x:c>
      <x:c r="D102" s="317" t="str">
        <x:v>Current OGC profile; OMS application-schema/model/profile target only if expressly claimed.</x:v>
      </x:c>
      <x:c r="E102" s="317" t="str">
        <x:v>/req/obs-basic/ObservingCapability; imports /req/obs-basic/ObservationCharacteristics and inherited abstract-core/NamedValue; ISO 19103/19108 dependencies; Annex A.3.10 documentation inspection. These are conditional native OMS model claims, not automatic CSAPI JSON conformance.</x:v>
      </x:c>
      <x:c r="F102" s="317" t="str">
        <x:v>Documentary analysis, not conformance testing</x:v>
      </x:c>
      <x:c r="G102" s="317" t="str">
        <x:v>Selected OMS-informed interpretation through native OGC carriers; no new endpoint or blanket equivalence.</x:v>
      </x:c>
      <x:c r="H102" s="317" t="str">
        <x:v>Only optional deployment-qualified prospective coverage remains conditional; not missing source text.</x:v>
      </x:c>
      <x:c r="I102" s="317" t="str">
        <x:v>https://docs.ogc.org/as/20-082r4/20-082r4.html</x:v>
      </x:c>
    </x:row>
    <x:row r="103" ht="74" customHeight="1">
      <x:c r="A103" s="316" t="str">
        <x:v>S98</x:v>
      </x:c>
      <x:c r="B103" s="317" t="str">
        <x:v>Observation and Sampling of a Smiley Face</x:v>
      </x:c>
      <x:c r="C103" s="317" t="str">
        <x:v>Semantic clarification / targeted mapping source, no new ontology runtime</x:v>
      </x:c>
      <x:c r="D103" s="317" t="str">
        <x:v>Selected OGC profile content if approved; original native target only when expressly chosen</x:v>
      </x:c>
      <x:c r="E103" s="317" t="str">
        <x:v>Source edition and provisions: OGC 25-038 (2026); evidence: Complete user-supplied 26-page OGC technical paper read, pp.8–22 especially. Dependencies and exact native compliance groups remain conditional, especially for proprietary standards.</x:v>
      </x:c>
      <x:c r="F103" s="317" t="str">
        <x:v>Documentary analysis, not conformance testing</x:v>
      </x:c>
      <x:c r="G103" s="317" t="str">
        <x:v>Optional linked meaning or relationship clarification; mere use of a class/URI is neither complete OWL implementation nor a new OMS/CSAPI conformance class.</x:v>
      </x:c>
      <x:c r="H103" s="317" t="str">
        <x:v>Revisit only if binding/meaning might change; Explicitly not an OGC Standard and cannot support normative conformance claims by itself.</x:v>
      </x:c>
      <x:c r="I103" s="317" t="str">
        <x:v>local:25-038.pdf</x:v>
      </x:c>
    </x:row>
    <x:row r="104" ht="88" customHeight="1">
      <x:c r="A104" s="316" t="str">
        <x:v>S99</x:v>
      </x:c>
      <x:c r="B104" s="317" t="str">
        <x:v>SOSA/SSN 2026 Working Draft</x:v>
      </x:c>
      <x:c r="C104" s="317" t="str">
        <x:v>Existing pinned SSN Working Draft retained; lineage/alignment evidence added without duplicate S ID. Add §7.1–7.3 and Annex E lineage scope. Ontology alignment axioms are distinct from non-OWL CSAPI correspondence tables; draft remains non-final.</x:v>
      </x:c>
      <x:c r="D104" s="317" t="str">
        <x:v>Selected OGC profile content if approved; original native target only when expressly chosen</x:v>
      </x:c>
      <x:c r="E104" s="317" t="str">
        <x:v>Source edition and provisions: Working Draft 2026-10-12; evidence: Official Working Draft §§5.3–5.6, 6.1, 7.3.1 and non-normative appendix D inspected. Dependencies and exact native compliance groups remain conditional, especially for proprietary standards.</x:v>
      </x:c>
      <x:c r="F104" s="317" t="str">
        <x:v>Documentary analysis, not conformance testing</x:v>
      </x:c>
      <x:c r="G104" s="317" t="str">
        <x:v>Optional linked meaning or relationship clarification; mere use of a class/URI is neither complete OWL implementation nor a new OMS/CSAPI conformance class.</x:v>
      </x:c>
      <x:c r="H104" s="317" t="str">
        <x:v>Revisit only if binding/meaning might change; Draft alignment and system-capabilities examples are explicitly non-normative; do not assert OWL class equivalence.</x:v>
      </x:c>
      <x:c r="I104" s="317" t="str">
        <x:v>https://www.w3.org/TR/2026/WD-vocab-ssn-2023-20261012/</x:v>
      </x:c>
    </x:row>
    <x:row r="105" ht="75" customHeight="1">
      <x:c r="A105" s="316" t="str">
        <x:v>S100</x:v>
      </x:c>
      <x:c r="B105" s="317" t="str">
        <x:v>I-ADOPT WG Outputs and Recommendations</x:v>
      </x:c>
      <x:c r="C105" s="317" t="str">
        <x:v>Semantic clarification / targeted mapping source, no new ontology runtime</x:v>
      </x:c>
      <x:c r="D105" s="317" t="str">
        <x:v>Selected OGC profile content if approved; original native target only when expressly chosen</x:v>
      </x:c>
      <x:c r="E105" s="317" t="str">
        <x:v>Source edition and provisions: RDA 2022 v1.1.0; evidence: DOI/catalogue and bibliography verified in foundational review; full report not comprehensively inspected. Dependencies and exact native compliance groups remain conditional, especially for proprietary standards.</x:v>
      </x:c>
      <x:c r="F105" s="317" t="str">
        <x:v>Documentary analysis, not conformance testing</x:v>
      </x:c>
      <x:c r="G105" s="317" t="str">
        <x:v>Optional linked meaning or relationship clarification; mere use of a class/URI is neither complete OWL implementation nor a new OMS/CSAPI conformance class.</x:v>
      </x:c>
      <x:c r="H105" s="317" t="str">
        <x:v>Revisit only if binding/meaning might change; Endorsed recommendation is not an OGC standard, required RDF runtime or complete normative mapping.</x:v>
      </x:c>
      <x:c r="I105" s="317" t="str">
        <x:v>https://doi.org/10.15497/RDA00071</x:v>
      </x:c>
    </x:row>
    <x:row r="106" ht="74" customHeight="1">
      <x:c r="A106" s="316" t="str">
        <x:v>S101</x:v>
      </x:c>
      <x:c r="B106" s="317" t="str">
        <x:v>I-ADOPT Framework Ontology 1.1.0</x:v>
      </x:c>
      <x:c r="C106" s="317" t="str">
        <x:v>Semantic clarification / targeted mapping source, no new ontology runtime</x:v>
      </x:c>
      <x:c r="D106" s="317" t="str">
        <x:v>Selected OGC profile content if approved; original native target only when expressly chosen</x:v>
      </x:c>
      <x:c r="E106" s="317" t="str">
        <x:v>Source edition and provisions: Ontology v1.1.0; evidence: Published versioned HTML classes and properties inspected in foundational work. Dependencies and exact native compliance groups remain conditional, especially for proprietary standards.</x:v>
      </x:c>
      <x:c r="F106" s="317" t="str">
        <x:v>Documentary analysis, not conformance testing</x:v>
      </x:c>
      <x:c r="G106" s="317" t="str">
        <x:v>Optional linked meaning or relationship clarification; mere use of a class/URI is neither complete OWL implementation nor a new OMS/CSAPI conformance class.</x:v>
      </x:c>
      <x:c r="H106" s="317" t="str">
        <x:v>Revisit only if binding/meaning might change; Ontology's System means a compound entity and must not be equated with CSAPI System.</x:v>
      </x:c>
      <x:c r="I106" s="317" t="str">
        <x:v>https://i-adopt.github.io/ontology/</x:v>
      </x:c>
    </x:row>
    <x:row r="107" ht="75" customHeight="1">
      <x:c r="A107" s="316" t="str">
        <x:v>S102</x:v>
      </x:c>
      <x:c r="B107" s="317" t="str">
        <x:v>I-ADOPT 1.1.0 pinned Turtle ontology</x:v>
      </x:c>
      <x:c r="C107" s="317" t="str">
        <x:v>Semantic clarification / targeted mapping source, no new ontology runtime</x:v>
      </x:c>
      <x:c r="D107" s="317" t="str">
        <x:v>Selected OGC profile content if approved; original native target only when expressly chosen</x:v>
      </x:c>
      <x:c r="E107" s="317" t="str">
        <x:v>Source edition and provisions: Ontology 1.1.0 commit-pinned; evidence: Exact versioned Turtle source inspected from repository snapshot, not executed as full reasoner. Dependencies and exact native compliance groups remain conditional, especially for proprietary standards.</x:v>
      </x:c>
      <x:c r="F107" s="317" t="str">
        <x:v>Documentary analysis, not conformance testing</x:v>
      </x:c>
      <x:c r="G107" s="317" t="str">
        <x:v>Optional linked meaning or relationship clarification; mere use of a class/URI is neither complete OWL implementation nor a new OMS/CSAPI conformance class.</x:v>
      </x:c>
      <x:c r="H107" s="317" t="str">
        <x:v>Revisit only if binding/meaning might change; Do not copy the entire graph into MERLIN or claim SHACL validation by selecting a few term URIs.</x:v>
      </x:c>
      <x:c r="I107" s="317" t="str">
        <x:v>https://github.com/i-adopt/ontology/blob/604a560a5826d4c9102060a85eca00b15dc30ef9/ontology/i-adopt_1_1_0.ttl</x:v>
      </x:c>
    </x:row>
    <x:row r="108" ht="75" customHeight="1">
      <x:c r="A108" s="316" t="str">
        <x:v>S103</x:v>
      </x:c>
      <x:c r="B108" s="317" t="str">
        <x:v>I-ADOPT Variable Design Patterns</x:v>
      </x:c>
      <x:c r="C108" s="317" t="str">
        <x:v>Semantic clarification / targeted mapping source, no new ontology runtime</x:v>
      </x:c>
      <x:c r="D108" s="317" t="str">
        <x:v>Selected OGC profile content if approved; original native target only when expressly chosen</x:v>
      </x:c>
      <x:c r="E108" s="317" t="str">
        <x:v>Source edition and provisions: Published working patterns repo 2026-10-14; evidence: README, quantitative patterns and architecture-decision records identified and selectively reviewed. Dependencies and exact native compliance groups remain conditional, especially for proprietary standards.</x:v>
      </x:c>
      <x:c r="F108" s="317" t="str">
        <x:v>Documentary analysis, not conformance testing</x:v>
      </x:c>
      <x:c r="G108" s="317" t="str">
        <x:v>Optional linked meaning or relationship clarification; mere use of a class/URI is neither complete OWL implementation nor a new OMS/CSAPI conformance class.</x:v>
      </x:c>
      <x:c r="H108" s="317" t="str">
        <x:v>Revisit only if binding/meaning might change; Working community examples may evolve; they are not inherently normative or required MERLIN schemas.</x:v>
      </x:c>
      <x:c r="I108" s="317" t="str">
        <x:v>https://github.com/i-adopt/patterns</x:v>
      </x:c>
    </x:row>
    <x:row r="109" ht="74" customHeight="1">
      <x:c r="A109" s="316" t="str">
        <x:v>S104</x:v>
      </x:c>
      <x:c r="B109" s="317" t="str">
        <x:v>QUDT Catalog 3.5.2</x:v>
      </x:c>
      <x:c r="C109" s="317" t="str">
        <x:v>General quantity-kind vocabulary; subject-qualified definitions remain authored</x:v>
      </x:c>
      <x:c r="D109" s="317" t="str">
        <x:v>Selected OGC profile content if approved; original native target only when expressly chosen</x:v>
      </x:c>
      <x:c r="E109" s="317" t="str">
        <x:v>Source edition and provisions: Catalog 3.5.2 (2026); evidence: Current official catalog plus selected quantity-kind term inspected. Dependencies and exact native compliance groups remain conditional, especially for proprietary standards.</x:v>
      </x:c>
      <x:c r="F109" s="317" t="str">
        <x:v>Documentary analysis, not conformance testing</x:v>
      </x:c>
      <x:c r="G109" s="317" t="str">
        <x:v>Use explicit quantity-kind IRIs within SWE data definitions when justified; retain measured subject, units, matrix and property qualifications.</x:v>
      </x:c>
      <x:c r="H109" s="317" t="str">
        <x:v>Revisit only if binding/meaning might change; QUDT vocabulary reuse does not require a full QUDT reasoner or prove that equivalent-looking definitions match.</x:v>
      </x:c>
      <x:c r="I109" s="317" t="str">
        <x:v>https://www.qudt.org/catalog/qudt-catalog.html</x:v>
      </x:c>
    </x:row>
    <x:row r="110" ht="74" customHeight="1">
      <x:c r="A110" s="316" t="str">
        <x:v>S105</x:v>
      </x:c>
      <x:c r="B110" s="317" t="str">
        <x:v>SWEET ontology repository</x:v>
      </x:c>
      <x:c r="C110" s="317" t="str">
        <x:v>Optional exact term donor, not mandatory vocabulary or full ontology import</x:v>
      </x:c>
      <x:c r="D110" s="317" t="str">
        <x:v>Selected OGC profile content if approved; original native target only when expressly chosen</x:v>
      </x:c>
      <x:c r="E110" s="317" t="str">
        <x:v>Source edition and provisions: SWEET repo state 2026-10-14; evidence: Official public ontology repository and selected module hierarchy inspected. Dependencies and exact native compliance groups remain conditional, especially for proprietary standards.</x:v>
      </x:c>
      <x:c r="F110" s="317" t="str">
        <x:v>Documentary analysis, not conformance testing</x:v>
      </x:c>
      <x:c r="G110" s="317" t="str">
        <x:v>Use a pinned term when justified by an earth/environmental sensing family; no full SWEET import or reasoning capability selected.</x:v>
      </x:c>
      <x:c r="H110" s="317" t="str">
        <x:v>Revisit only if binding/meaning might change; Repository master is mutable and imports can be extensive; do not indiscriminately copy all modules into MERLIN.</x:v>
      </x:c>
      <x:c r="I110" s="317" t="str">
        <x:v>https://github.com/ESIPFed/sweet</x:v>
      </x:c>
    </x:row>
    <x:row r="111" ht="75" customHeight="1">
      <x:c r="A111" s="316" t="str">
        <x:v>S106</x:v>
      </x:c>
      <x:c r="B111" s="317" t="str">
        <x:v>SWEET material instrument ontology module</x:v>
      </x:c>
      <x:c r="C111" s="317" t="str">
        <x:v>Optional exact term donor, not mandatory vocabulary or full ontology import</x:v>
      </x:c>
      <x:c r="D111" s="317" t="str">
        <x:v>Selected OGC profile content if approved; original native target only when expressly chosen</x:v>
      </x:c>
      <x:c r="E111" s="317" t="str">
        <x:v>Source edition and provisions: Inspected module versionInfo 3.6.0; evidence: Particular Turtle module inspected from ESIP repository, not all inter-module imports or axioms. Dependencies and exact native compliance groups remain conditional, especially for proprietary standards.</x:v>
      </x:c>
      <x:c r="F111" s="317" t="str">
        <x:v>Documentary analysis, not conformance testing</x:v>
      </x:c>
      <x:c r="G111" s="317" t="str">
        <x:v>Use a pinned term when justified by an earth/environmental sensing family; no full SWEET import or reasoning capability selected.</x:v>
      </x:c>
      <x:c r="H111" s="317" t="str">
        <x:v>Revisit only if binding/meaning might change; Pin adopted term IRIs and source revision before making them a dependency.</x:v>
      </x:c>
      <x:c r="I111" s="317" t="str">
        <x:v>https://github.com/ESIPFed/sweet/blob/master/src/matrInstrument.ttl</x:v>
      </x:c>
    </x:row>
    <x:row r="112" ht="75" customHeight="1">
      <x:c r="A112" s="316" t="str">
        <x:v>S107</x:v>
      </x:c>
      <x:c r="B112" s="317" t="str">
        <x:v>I-ADOPT OMS extension roadmap</x:v>
      </x:c>
      <x:c r="C112" s="317" t="str">
        <x:v>Research lead only; defer pending accessible, released specification</x:v>
      </x:c>
      <x:c r="D112" s="317" t="str">
        <x:v>Selected OGC profile content if approved; original native target only when expressly chosen</x:v>
      </x:c>
      <x:c r="E112" s="317" t="str">
        <x:v>Source edition and provisions: 2026–27 roadmap; access failed; evidence: URL attempted in foundational research but content inaccessible; secondary project report only. Dependencies and exact native compliance groups remain conditional, especially for proprietary standards.</x:v>
      </x:c>
      <x:c r="F112" s="317" t="str">
        <x:v>Documentary analysis, not conformance testing</x:v>
      </x:c>
      <x:c r="G112" s="317" t="str">
        <x:v>Optional linked meaning or relationship clarification; mere use of a class/URI is neither complete OWL implementation nor a new OMS/CSAPI conformance class.</x:v>
      </x:c>
      <x:c r="H112" s="317" t="str">
        <x:v>Revisit only if binding/meaning might change; No published approved extension or directly inspected normative text has been established.</x:v>
      </x:c>
      <x:c r="I112" s="317" t="str">
        <x:v>https://i-adopt.github.io/overview.html</x:v>
      </x:c>
    </x:row>
    <x:row r="113" ht="75" customHeight="1">
      <x:c r="A113" s="316" t="str">
        <x:v>S108</x:v>
      </x:c>
      <x:c r="B113" s="317" t="str">
        <x:v>I-ADOPT patterns playground</x:v>
      </x:c>
      <x:c r="C113" s="317" t="str">
        <x:v>Semantic clarification / targeted mapping source, no new ontology runtime</x:v>
      </x:c>
      <x:c r="D113" s="317" t="str">
        <x:v>Selected OGC profile content if approved; original native target only when expressly chosen</x:v>
      </x:c>
      <x:c r="E113" s="317" t="str">
        <x:v>Source edition and provisions: 2026 repository state; 14 Oct inspection; evidence: Repository README and directory organization verified as current community experiment. Dependencies and exact native compliance groups remain conditional, especially for proprietary standards.</x:v>
      </x:c>
      <x:c r="F113" s="317" t="str">
        <x:v>Documentary analysis, not conformance testing</x:v>
      </x:c>
      <x:c r="G113" s="317" t="str">
        <x:v>Optional linked meaning or relationship clarification; mere use of a class/URI is neither complete OWL implementation nor a new OMS/CSAPI conformance class.</x:v>
      </x:c>
      <x:c r="H113" s="317" t="str">
        <x:v>Revisit only if binding/meaning might change; A contributor's working repository is not an approved RDA recommendation or a standardized CSAPI mapping.</x:v>
      </x:c>
      <x:c r="I113" s="317" t="str">
        <x:v>https://github.com/mabablue/I-ADOPT-patterns-playground</x:v>
      </x:c>
    </x:row>
    <x:row r="114" ht="88" customHeight="1">
      <x:c r="A114" s="316" t="str">
        <x:v>S109</x:v>
      </x:c>
      <x:c r="B114" s="317" t="str">
        <x:v>QUDT quantity kind Concentration</x:v>
      </x:c>
      <x:c r="C114" s="317" t="str">
        <x:v>General quantity-kind vocabulary; subject-qualified definitions remain authored</x:v>
      </x:c>
      <x:c r="D114" s="317" t="str">
        <x:v>Selected OGC profile content if approved; original native target only when expressly chosen</x:v>
      </x:c>
      <x:c r="E114" s="317" t="str">
        <x:v>Source edition and provisions: Individual quantity-kind term, 3.5.1-linked record; evidence: Official term page directly inspected in foundational review; term record edition not silently equated with current v3.5.2 catalog. Dependencies and exact native compliance groups remain conditional, especially for proprietary standards.</x:v>
      </x:c>
      <x:c r="F114" s="317" t="str">
        <x:v>Documentary analysis, not conformance testing</x:v>
      </x:c>
      <x:c r="G114" s="317" t="str">
        <x:v>Use explicit quantity-kind IRIs within SWE data definitions when justified; retain measured subject, units, matrix and property qualifications.</x:v>
      </x:c>
      <x:c r="H114" s="317" t="str">
        <x:v>Revisit only if binding/meaning might change; Do not use the broad term to assert analyte identity, measurement medium, concentration basis or sampling situation.</x:v>
      </x:c>
      <x:c r="I114" s="317" t="str">
        <x:v>http://qudt.org/vocab/quantitykind/Concentration</x:v>
      </x:c>
    </x:row>
    <x:row r="115" ht="74" customHeight="1">
      <x:c r="A115" s="304" t="str">
        <x:v>S110</x:v>
      </x:c>
      <x:c r="B115" s="304" t="str">
        <x:v>SAPIENT Network of Autonomous Sensors and Effectors—Interface Control Document—Specification</x:v>
      </x:c>
      <x:c r="C115" s="304" t="str">
        <x:v>Research source incorporated; selected meanings reflected in v0.3.2–v0.3.5; no mandatory SAPIENT stack.</x:v>
      </x:c>
      <x:c r="D115" s="304" t="str">
        <x:v>OGC-facing semantic translation; native SAPIENT participant only if separately selected.</x:v>
      </x:c>
      <x:c r="E115" s="304" t="str">
        <x:v>BSI v2 §§4–7, exact role and message requirements; reconcile publisher/protobuf discrepancies before native claims.</x:v>
      </x:c>
      <x:c r="F115" s="304" t="str">
        <x:v>Documentary reconciliation; source inspection inherited where stated.</x:v>
      </x:c>
      <x:c r="G115" s="304" t="str">
        <x:v>Source-to-carrier fidelity, identifiers/units/state distinctions; role-specific native harness only in separately authorized implementation.</x:v>
      </x:c>
      <x:c r="H115" s="304" t="str">
        <x:v>SAPIENT v3 not examined; six study variance records retained; no live adapter.</x:v>
      </x:c>
      <x:c r="I115" s="304" t="str">
        <x:v>https://www.bsigroup.com/siteassets/pdf/en/insights-and-media/insights/brochures/bsi-flex-335.pdf</x:v>
      </x:c>
    </x:row>
    <x:row r="116" ht="74" customHeight="1">
      <x:c r="A116" s="304" t="str">
        <x:v>S111</x:v>
      </x:c>
      <x:c r="B116" s="304" t="str">
        <x:v>SAPIENT-Proto-Files: bsi_flex_335_v2_0</x:v>
      </x:c>
      <x:c r="C116" s="304" t="str">
        <x:v>Incorporated as companion evidence, not identical to BSI publisher text.</x:v>
      </x:c>
      <x:c r="D116" s="304" t="str">
        <x:v>Optional source parser/translator; no native parser commissioned.</x:v>
      </x:c>
      <x:c r="E116" s="304" t="str">
        <x:v>Pinned v2 declarations plus BSI message framing/role rules; custom required annotations and table variances.</x:v>
      </x:c>
      <x:c r="F116" s="304" t="str">
        <x:v>Documentary reconciliation; source inspection inherited where stated.</x:v>
      </x:c>
      <x:c r="G116" s="304" t="str">
        <x:v>Compile/round-trip/schema tests only for a native implementation; documentary mapping checks now.</x:v>
      </x:c>
      <x:c r="H116" s="304" t="str">
        <x:v>No source execution; publisher/code differences remain unresolved.</x:v>
      </x:c>
      <x:c r="I116" s="304" t="str">
        <x:v>https://github.com/dstl/SAPIENT-Proto-Files/tree/244a741c13bcee628f84944aef91e4a66854bd7d/bsi_flex_335_v2_0</x:v>
      </x:c>
    </x:row>
    <x:row r="117" ht="74" customHeight="1">
      <x:c r="A117" s="304" t="str">
        <x:v>S112</x:v>
      </x:c>
      <x:c r="B117" s="304" t="str">
        <x:v>BSI-Flex-335-v2-Test-Harness</x:v>
      </x:c>
      <x:c r="C117" s="304" t="str">
        <x:v>Retain as implementation aid; not MERLIN conformance result.</x:v>
      </x:c>
      <x:c r="D117" s="304" t="str">
        <x:v>Future native SAPIENT test participant, not profile server.</x:v>
      </x:c>
      <x:c r="E117" s="304" t="str">
        <x:v>Version-two harness prerequisites and selected BSI role requirements.</x:v>
      </x:c>
      <x:c r="F117" s="304" t="str">
        <x:v>Documentary reconciliation; source inspection inherited where stated.</x:v>
      </x:c>
      <x:c r="G117" s="304" t="str">
        <x:v>No tests executed; document test coverage and omissions before relying on future results.</x:v>
      </x:c>
      <x:c r="H117" s="304" t="str">
        <x:v>Harness availability does not equal certification.</x:v>
      </x:c>
      <x:c r="I117" s="304" t="str">
        <x:v>https://github.com/dstl/BSI-Flex-335-v2-Test-Harness/tree/6a2999d70d761d224914ddd8fa3f663af5005be0</x:v>
      </x:c>
    </x:row>
    <x:row r="118" ht="74" customHeight="1">
      <x:c r="A118" s="304" t="str">
        <x:v>S113</x:v>
      </x:c>
      <x:c r="B118" s="304" t="str">
        <x:v>Apex-SAPIENT-Middleware</x:v>
      </x:c>
      <x:c r="C118" s="304" t="str">
        <x:v>Implementation evidence only; Apex API not a CSAPI standard.</x:v>
      </x:c>
      <x:c r="D118" s="304" t="str">
        <x:v>Optional mediation source for an OGC translation; not an adopted native API.</x:v>
      </x:c>
      <x:c r="E118" s="304" t="str">
        <x:v>Implementation-specific configuration plus applicable native SAPIENT and selected OGC requirements if deployed.</x:v>
      </x:c>
      <x:c r="F118" s="304" t="str">
        <x:v>Documentary reconciliation; source inspection inherited where stated.</x:v>
      </x:c>
      <x:c r="G118" s="304" t="str">
        <x:v>No execution; check mediation identities and retained source records in later mapping case.</x:v>
      </x:c>
      <x:c r="H118" s="304" t="str">
        <x:v>No evidence of a deployed MERLIN/Apex adapter.</x:v>
      </x:c>
      <x:c r="I118" s="304" t="str">
        <x:v>https://github.com/dstl/Apex-SAPIENT-Middleware/tree/0c8591ae97f2dc336eff299845880d5c73ee75b7</x:v>
      </x:c>
    </x:row>
    <x:row r="119" ht="74" customHeight="1">
      <x:c r="A119" s="304" t="str">
        <x:v>S114</x:v>
      </x:c>
      <x:c r="B119" s="304" t="str">
        <x:v>Technical Standard for SOSA Reference Architecture, Edition 1.1</x:v>
      </x:c>
      <x:c r="C119" s="304" t="str">
        <x:v>Incorporated; conditional source translation, not MPSS-wide SOSA requirements.</x:v>
      </x:c>
      <x:c r="D119" s="304" t="str">
        <x:v>Conditional SOSA-provider semantic translation, not a universal native implementation.</x:v>
      </x:c>
      <x:c r="E119" s="304" t="str">
        <x:v>Selected C239 module/interface requirements; §6.2.1 and applicable Appendix B companions; exact product conformance scope not selected.</x:v>
      </x:c>
      <x:c r="F119" s="304" t="str">
        <x:v>Documentary reconciliation; source inspection inherited where stated.</x:v>
      </x:c>
      <x:c r="G119" s="304" t="str">
        <x:v>Source-to-profile comparison now; role-specific interface/conformance evidence only if separately commissioned.</x:v>
      </x:c>
      <x:c r="H119" s="304" t="str">
        <x:v>DISR record lacks edition; no source-provider mapping or certification completed.</x:v>
      </x:c>
      <x:c r="I119" s="304" t="str">
        <x:v>https://publications.opengroup.org/c239</x:v>
      </x:c>
    </x:row>
    <x:row r="120" ht="74" customHeight="1">
      <x:c r="A120" s="304" t="str">
        <x:v>S115</x:v>
      </x:c>
      <x:c r="B120" s="304" t="str">
        <x:v>SOSA Domain-Specific Data Model, Edition 1.0, and IDL companion</x:v>
      </x:c>
      <x:c r="C120" s="304" t="str">
        <x:v>Separate artifact record under adopted C239 authority; no wholesale OGC duplication.</x:v>
      </x:c>
      <x:c r="D120" s="304" t="str">
        <x:v>Source-model translation; native message target not selected.</x:v>
      </x:c>
      <x:c r="E120" s="304" t="str">
        <x:v>C239 Appendix B.1 plus exact DSDM/IDL structures for selected native role.</x:v>
      </x:c>
      <x:c r="F120" s="304" t="str">
        <x:v>Documentary reconciliation; source inspection inherited where stated.</x:v>
      </x:c>
      <x:c r="G120" s="304" t="str">
        <x:v>Semantic mapping with units/frames/identity fidelity; no IDL execution or native certification claimed.</x:v>
      </x:c>
      <x:c r="H120" s="304" t="str">
        <x:v>Normative companion role inherited from source review, not independent registry status.</x:v>
      </x:c>
      <x:c r="I120" s="304" t="str">
        <x:v>https://publications.opengroup.org/c239</x:v>
      </x:c>
    </x:row>
    <x:row r="121" ht="74" customHeight="1">
      <x:c r="A121" s="304" t="str">
        <x:v>S116</x:v>
      </x:c>
      <x:c r="B121" s="304" t="str">
        <x:v>SOSA in-band management OpenAPI definitions</x:v>
      </x:c>
      <x:c r="C121" s="304" t="str">
        <x:v>Retain as source-interface evidence; do not adopt the endpoints as CSAPI.</x:v>
      </x:c>
      <x:c r="D121" s="304" t="str">
        <x:v>Conditional native management client plus separate OGC translation only when required.</x:v>
      </x:c>
      <x:c r="E121" s="304" t="str">
        <x:v>C239 §6.2.1 and relevant Appendix B API roles; exact JSON and OAS-spec edition distinctions.</x:v>
      </x:c>
      <x:c r="F121" s="304" t="str">
        <x:v>Documentary reconciliation; source inspection inherited where stated.</x:v>
      </x:c>
      <x:c r="G121" s="304" t="str">
        <x:v>Six-file parsing already documented; endpoint behavior and actual provider support not tested.</x:v>
      </x:c>
      <x:c r="H121" s="304" t="str">
        <x:v>No API calls, role certification or source implementation selected.</x:v>
      </x:c>
      <x:c r="I121" s="304" t="str">
        <x:v>https://publications.opengroup.org/c239</x:v>
      </x:c>
    </x:row>
    <x:row r="122" ht="74" customHeight="1">
      <x:c r="A122" s="304" t="str">
        <x:v>S117</x:v>
      </x:c>
      <x:c r="B122" s="304" t="str">
        <x:v>Technical Standard for SOSA Reference Architecture, Edition 2.0 (Snapshot 3)</x:v>
      </x:c>
      <x:c r="C122" s="304" t="str">
        <x:v>Retain as snapshot only; no adopted-edition inheritance.</x:v>
      </x:c>
      <x:c r="D122" s="304" t="str">
        <x:v>Developmental comparison; no implementation target selected.</x:v>
      </x:c>
      <x:c r="E122" s="304" t="str">
        <x:v>No adopted normative dependency selected from S251.</x:v>
      </x:c>
      <x:c r="F122" s="304" t="str">
        <x:v>Documentary reconciliation; source inspection inherited where stated.</x:v>
      </x:c>
      <x:c r="G122" s="304" t="str">
        <x:v>Version-aware documentary crosswalk only; no runtime tests.</x:v>
      </x:c>
      <x:c r="H122" s="304" t="str">
        <x:v>Snapshot standing retained; no later adoption inferred.</x:v>
      </x:c>
      <x:c r="I122" s="304" t="str">
        <x:v>https://publications.opengroup.org/standards/s251</x:v>
      </x:c>
    </x:row>
    <x:row r="123" ht="74" customHeight="1">
      <x:c r="A123" s="304" t="str">
        <x:v>S118</x:v>
      </x:c>
      <x:c r="B123" s="304" t="str">
        <x:v>Standardization Decisions for a Modular Open Systems Approach (MOSA)</x:v>
      </x:c>
      <x:c r="C123" s="304" t="str">
        <x:v>Include at catalog depth; no new process obligations.</x:v>
      </x:c>
      <x:c r="D123" s="304" t="str">
        <x:v>None: catalog-level methodology reference.</x:v>
      </x:c>
      <x:c r="E123" s="304" t="str">
        <x:v>No requirements adopted; full text not inspected.</x:v>
      </x:c>
      <x:c r="F123" s="304" t="str">
        <x:v>Documentary reconciliation; source inspection inherited where stated.</x:v>
      </x:c>
      <x:c r="G123" s="304" t="str">
        <x:v>Verify publication identity now; inspect full guidance only for a named later methodology question.</x:v>
      </x:c>
      <x:c r="H123" s="304" t="str">
        <x:v>Catalog scope only, not a technical conformance source.</x:v>
      </x:c>
      <x:c r="I123" s="304" t="str">
        <x:v>https://quicksearch.dla.mil/qsDocDetails.aspx?ident_number=286891</x:v>
      </x:c>
    </x:row>
    <x:row r="124" ht="74" customHeight="1">
      <x:c r="A124" s="304" t="str">
        <x:v>S119</x:v>
      </x:c>
      <x:c r="B124" s="304" t="str">
        <x:v>Modular Open Systems Approach Portfolio: HOST, FACE, SOSA, UCS, and Open Mission Systems</x:v>
      </x:c>
      <x:c r="C124" s="304" t="str">
        <x:v>Retain metadata only, no donor mapping.</x:v>
      </x:c>
      <x:c r="D124" s="304" t="str">
        <x:v>None: portfolio notice metadata.</x:v>
      </x:c>
      <x:c r="E124" s="304" t="str">
        <x:v>No technical requirements inspected or selected.</x:v>
      </x:c>
      <x:c r="F124" s="304" t="str">
        <x:v>Documentary reconciliation; source inspection inherited where stated.</x:v>
      </x:c>
      <x:c r="G124" s="304" t="str">
        <x:v>Catalog identity check only.</x:v>
      </x:c>
      <x:c r="H124" s="304" t="str">
        <x:v>Open Mission Systems is not OGC OMS; no model alignment inferred.</x:v>
      </x:c>
      <x:c r="I124" s="304" t="str">
        <x:v>https://quicksearch.dla.mil/qsDocDetails.aspx?ident_number=284706</x:v>
      </x:c>
    </x:row>
    <x:row r="125" ht="74" customHeight="1">
      <x:c r="A125" s="304" t="str">
        <x:v>S120</x:v>
      </x:c>
      <x:c r="B125" s="304" t="str">
        <x:v>United States Code, title 10, §§4401–4403</x:v>
      </x:c>
      <x:c r="C125" s="304" t="str">
        <x:v>Record context; no program applicability determination.</x:v>
      </x:c>
      <x:c r="D125" s="304" t="str">
        <x:v>None: contextual statutory citation only.</x:v>
      </x:c>
      <x:c r="E125" s="304" t="str">
        <x:v>No program-specific legal requirements adopted through this task.</x:v>
      </x:c>
      <x:c r="F125" s="304" t="str">
        <x:v>Documentary reconciliation; source inspection inherited where stated.</x:v>
      </x:c>
      <x:c r="G125" s="304" t="str">
        <x:v>No new legal analysis; use applicable exact text if later commissioned.</x:v>
      </x:c>
      <x:c r="H125" s="304" t="str">
        <x:v>Mutable statutory locator; source-study citation depth only.</x:v>
      </x:c>
      <x:c r="I125" s="304" t="str">
        <x:v>https://uscode.house.gov/view.xhtml?edition=prelim&amp;f=treesort&amp;req=(title:10%20section:4401%20edition:prelim)</x:v>
      </x:c>
    </x:row>
    <x:row r="126" ht="74" customHeight="1">
      <x:c r="A126" s="304" t="str">
        <x:v>S121</x:v>
      </x:c>
      <x:c r="B126" s="304" t="str">
        <x:v>CSAPI Part 1 v1.0 property-definition JSON schema subset</x:v>
      </x:c>
      <x:c r="C126" s="304" t="str">
        <x:v>Supporting artifact only; technical v0.3.5 unchanged.</x:v>
      </x:c>
      <x:c r="D126" s="304" t="str">
        <x:v>Selected OGC resource/encoding plus authored MPSS interpretation.</x:v>
      </x:c>
      <x:c r="E126" s="304" t="str">
        <x:v>Applicable parent OGC requirements and complete JSON Schema dependency closure for any full validation claim.</x:v>
      </x:c>
      <x:c r="F126" s="304" t="str">
        <x:v>Documentary reconciliation; source inspection inherited where stated.</x:v>
      </x:c>
      <x:c r="G126" s="304" t="str">
        <x:v>Prior selected-schema and internal example checks recorded; full official schema/conformance testing not performed.</x:v>
      </x:c>
      <x:c r="H126" s="304" t="str">
        <x:v>Exact schema dependency closure and immutable publisher bytes incomplete; no native donor proof.</x:v>
      </x:c>
      <x:c r="I126" s="304" t="str">
        <x:v>https://schemas.opengis.net/ogcapi/connected-systems/part1/1.0/openapi/schemas/sensorml/property.json</x:v>
      </x:c>
    </x:row>
    <x:row r="127" ht="74" customHeight="1">
      <x:c r="A127" s="304" t="str">
        <x:v>S122</x:v>
      </x:c>
      <x:c r="B127" s="304" t="str">
        <x:v>CSAPI Part 2 v1.0 DataStream and Observation JSON schema subset</x:v>
      </x:c>
      <x:c r="C127" s="304" t="str">
        <x:v>Supporting artifact only; technical v0.3.5 unchanged.</x:v>
      </x:c>
      <x:c r="D127" s="304" t="str">
        <x:v>Selected OGC resource/encoding plus authored MPSS interpretation.</x:v>
      </x:c>
      <x:c r="E127" s="304" t="str">
        <x:v>Applicable parent OGC requirements and complete JSON Schema dependency closure for any full validation claim.</x:v>
      </x:c>
      <x:c r="F127" s="304" t="str">
        <x:v>Documentary reconciliation; source inspection inherited where stated.</x:v>
      </x:c>
      <x:c r="G127" s="304" t="str">
        <x:v>Prior selected-schema and internal example checks recorded; full official schema/conformance testing not performed.</x:v>
      </x:c>
      <x:c r="H127" s="304" t="str">
        <x:v>Exact schema dependency closure and immutable publisher bytes incomplete; no native donor proof.</x:v>
      </x:c>
      <x:c r="I127" s="304" t="str">
        <x:v>https://schemas.opengis.net/ogcapi/connected-systems/part2/1.0/openapi/schemas/json/dataStream.json</x:v>
      </x:c>
    </x:row>
    <x:row r="128" ht="74" customHeight="1">
      <x:c r="A128" s="304" t="str">
        <x:v>S123</x:v>
      </x:c>
      <x:c r="B128" s="304" t="str">
        <x:v>SWE Common 3.0 Quantity and basic-types JSON schema subset</x:v>
      </x:c>
      <x:c r="C128" s="304" t="str">
        <x:v>Supporting artifact only; technical v0.3.5 unchanged.</x:v>
      </x:c>
      <x:c r="D128" s="304" t="str">
        <x:v>Selected OGC resource/encoding plus authored MPSS interpretation.</x:v>
      </x:c>
      <x:c r="E128" s="304" t="str">
        <x:v>Applicable parent OGC requirements and complete JSON Schema dependency closure for any full validation claim.</x:v>
      </x:c>
      <x:c r="F128" s="304" t="str">
        <x:v>Documentary reconciliation; source inspection inherited where stated.</x:v>
      </x:c>
      <x:c r="G128" s="304" t="str">
        <x:v>Prior selected-schema and internal example checks recorded; full official schema/conformance testing not performed.</x:v>
      </x:c>
      <x:c r="H128" s="304" t="str">
        <x:v>Exact schema dependency closure and immutable publisher bytes incomplete; no native donor proof.</x:v>
      </x:c>
      <x:c r="I128" s="304" t="str">
        <x:v>https://schemas.opengis.net/sweCommon/3.0/json/Quantity.json</x:v>
      </x:c>
    </x:row>
    <x:row r="129" ht="74" customHeight="1">
      <x:c r="A129" s="304" t="str">
        <x:v>S124</x:v>
      </x:c>
      <x:c r="B129" s="304" t="str">
        <x:v>SAPIENT networked autonomous sensing</x:v>
      </x:c>
      <x:c r="C129" s="304" t="str">
        <x:v>Separate dated guidance record; no SAPIENT v3 normative claim.</x:v>
      </x:c>
      <x:c r="D129" s="304" t="str">
        <x:v>None: guidance-level context.</x:v>
      </x:c>
      <x:c r="E129" s="304" t="str">
        <x:v>Technical requirements belong to exact BSI/native/OGC sources, not guidance alone.</x:v>
      </x:c>
      <x:c r="F129" s="304" t="str">
        <x:v>Documentary reconciliation; source inspection inherited where stated.</x:v>
      </x:c>
      <x:c r="G129" s="304" t="str">
        <x:v>Version/date checked; no native v3 or runtime assessment.</x:v>
      </x:c>
      <x:c r="H129" s="304" t="str">
        <x:v>Historical OSUS wording not found in current page; preserve S51 inspection provenance.</x:v>
      </x:c>
      <x:c r="I129" s="304" t="str">
        <x:v>https://www.gov.uk/guidance/sapient-autonomous-sensor-system</x:v>
      </x:c>
    </x:row>
    <x:row r="130" ht="175" customHeight="1">
      <x:c r="A130" s="28" t="str">
        <x:v>S125</x:v>
      </x:c>
      <x:c r="B130" s="28" t="str">
        <x:v>N42-2011 Radiation Portal Monitor example</x:v>
      </x:c>
      <x:c r="C130" s="28" t="str">
        <x:v>REUSE AS MAPPING PRECEDENT</x:v>
      </x:c>
      <x:c r="D130" s="28" t="str">
        <x:v>Future edition-pinned N42-to-OGC adapter; current research extraction only.</x:v>
      </x:c>
      <x:c r="E130" s="28" t="str">
        <x:v>Before native conformance claims, obtain the chosen N42 edition, matching XSD and Schematron; preserve detector, window, time, occupancy and reference semantics.</x:v>
      </x:c>
      <x:c r="F130" s="28" t="str">
        <x:v>Example, not full normative text. The repository copy is not asserted byte-identical to the linked NIST file. No 2020 conformance is inferred.</x:v>
      </x:c>
      <x:c r="G130" s="28" t="str">
        <x:v>Reuse grouping and acquisition-context distinctions as radiation mapping evidence; retain native identifiers and references.</x:v>
      </x:c>
      <x:c r="H130" s="28" t="str">
        <x:v>Check references, count-vector/window cardinality, zero counts, occupied versus background membership and document-scoped identifiers.</x:v>
      </x:c>
      <x:c r="I130" s="28" t="str">
        <x:v>https://www.nist.gov/pml/radiation-physics/n42-2011/n42-2011-radiation-portal-monitor</x:v>
      </x:c>
    </x:row>
    <x:row r="131" ht="175" customHeight="1">
      <x:c r="A131" s="28" t="str">
        <x:v>S126</x:v>
      </x:c>
      <x:c r="B131" s="28" t="str">
        <x:v>N42-2011 Spectroscopic Radiation Portal Monitor example</x:v>
      </x:c>
      <x:c r="C131" s="28" t="str">
        <x:v>REUSE AS MAPPING PRECEDENT</x:v>
      </x:c>
      <x:c r="D131" s="28" t="str">
        <x:v>Selected lineage mapping to existing MPSS output context and a candidate PROV document.</x:v>
      </x:c>
      <x:c r="E131" s="28" t="str">
        <x:v>Keep N42 2011 namespace and element identity; exact target encoding must preserve acquisition/calibration qualifications.</x:v>
      </x:c>
      <x:c r="F131" s="28" t="str">
        <x:v>Only selected fields and references inspected; no spectrum decompression, arithmetic verification or complete normative N42 assessment.</x:v>
      </x:c>
      <x:c r="G131" s="28" t="str">
        <x:v>Use explicit raw-spectrum and derived-data references as provenance evidence, without assuming every same-passage record was an input.</x:v>
      </x:c>
      <x:c r="H131" s="28" t="str">
        <x:v>Negative check: unrelated or background-associated records must not become derivation inputs solely through collection membership.</x:v>
      </x:c>
      <x:c r="I131" s="28" t="str">
        <x:v>https://www.nist.gov/pml/radiation-physics/n42-2011/n42-2011-spectroscopic-radiation-portal-monitor</x:v>
      </x:c>
    </x:row>
    <x:row r="132" ht="175" customHeight="1">
      <x:c r="A132" s="28" t="str">
        <x:v>S127</x:v>
      </x:c>
      <x:c r="B132" s="28" t="str">
        <x:v>ANSI/IEEE N42.42-2020 Version: schema and example distribution index</x:v>
      </x:c>
      <x:c r="C132" s="28" t="str">
        <x:v>GATED FOR NORMATIVE MAPPING</x:v>
      </x:c>
      <x:c r="D132" s="28" t="str">
        <x:v>Edition-specific N42 import/export only after normative and artifact access.</x:v>
      </x:c>
      <x:c r="E132" s="28" t="str">
        <x:v>Exact IEEE clauses and dependencies remain an explicit access gate; do not claim compliance from XML syntax alone.</x:v>
      </x:c>
      <x:c r="F132" s="28" t="str">
        <x:v>No 2020 XSD bytes, Schematron execution or full IEEE normative text was examined in this increment. Index visibility is not schema validation.</x:v>
      </x:c>
      <x:c r="G132" s="28" t="str">
        <x:v>Pin the required native edition rather than relabeling an inspected 2011 example as 2020.</x:v>
      </x:c>
      <x:c r="H132" s="28" t="str">
        <x:v>Future positive/negative N42 validation plus semantic-reference checks against the chosen edition.</x:v>
      </x:c>
      <x:c r="I132" s="28" t="str">
        <x:v>https://www.nist.gov/pml/radiation-physics/ansiieee-n4242-2020-version</x:v>
      </x:c>
    </x:row>
    <x:row r="133" ht="175" customHeight="1">
      <x:c r="A133" s="28" t="str">
        <x:v>S128</x:v>
      </x:c>
      <x:c r="B133" s="28" t="str">
        <x:v>PROV-DM: The PROV Data Model</x:v>
      </x:c>
      <x:c r="C133" s="28" t="str">
        <x:v>SELECT FOR BOUNDED FOLLOW-ON BINDING</x:v>
      </x:c>
      <x:c r="D133" s="28" t="str">
        <x:v>A small, separately identified provenance representation for source-supported dependencies.</x:v>
      </x:c>
      <x:c r="E133" s="28" t="str">
        <x:v>Apply the selected relation definitions and PROV-CONSTRAINTS; mappings into non-PROV JSON remain authored translations.</x:v>
      </x:c>
      <x:c r="F133" s="28" t="str">
        <x:v>PROV does not define radiation truth, evidence sufficiency, passage identity or a case-management workflow.</x:v>
      </x:c>
      <x:c r="G133" s="28" t="str">
        <x:v>Select as the principal residual-lineage donor; compare to R11 rather than replacing the whole physical-system model.</x:v>
      </x:c>
      <x:c r="H133" s="28" t="str">
        <x:v>Test direction, entity/activity typing, stable version targets, unsupported inferences and generation/use consistency.</x:v>
      </x:c>
      <x:c r="I133" s="28" t="str">
        <x:v>https://www.w3.org/TR/2013/REC-prov-dm-20130430/</x:v>
      </x:c>
    </x:row>
    <x:row r="134" ht="175" customHeight="1">
      <x:c r="A134" s="28" t="str">
        <x:v>S129</x:v>
      </x:c>
      <x:c r="B134" s="28" t="str">
        <x:v>PROV-O: The PROV Ontology</x:v>
      </x:c>
      <x:c r="C134" s="28" t="str">
        <x:v>CANDIDATE NATIVE ENCODING</x:v>
      </x:c>
      <x:c r="D134" s="28" t="str">
        <x:v>Candidate provenance document, not a new CSAPI endpoint or mandatory MPSS component.</x:v>
      </x:c>
      <x:c r="E134" s="28" t="str">
        <x:v>Normative PROV-O §§1.1–1.2, 3–4 and Appendix B; PROV-DM semantics; assess relevant PROV-CONSTRAINTS separately.</x:v>
      </x:c>
      <x:c r="F134" s="28" t="str">
        <x:v>Turtle parsing and the local assertions in this package do not constitute complete OWL or PROV constraint validation.</x:v>
      </x:c>
      <x:c r="G134" s="28" t="str">
        <x:v>Use a small optional RDF design specimen to test the relationship distinctions; no triple store or SPARQL endpoint is required by this proposal.</x:v>
      </x:c>
      <x:c r="H134" s="28" t="str">
        <x:v>Parse selected triples and check types/directions; later validate formal constraints before claiming full PROV conformance.</x:v>
      </x:c>
      <x:c r="I134" s="28" t="str">
        <x:v>https://www.w3.org/TR/2013/REC-prov-o-20130430/</x:v>
      </x:c>
    </x:row>
    <x:row r="135" ht="175" customHeight="1">
      <x:c r="A135" s="28" t="str">
        <x:v>S130</x:v>
      </x:c>
      <x:c r="B135" s="28" t="str">
        <x:v>Constraints of the PROV Data Model</x:v>
      </x:c>
      <x:c r="C135" s="28" t="str">
        <x:v>REQUIRED DEPENDENCY FOR FUTURE CLAIM</x:v>
      </x:c>
      <x:c r="D135" s="28" t="str">
        <x:v>Provenance validation component, only if PROV exchange is selected.</x:v>
      </x:c>
      <x:c r="E135" s="28" t="str">
        <x:v>Identify the chosen conformance target and apply required definitions, inferences and constraints rather than checking a few labels.</x:v>
      </x:c>
      <x:c r="F135" s="28" t="str">
        <x:v>No complete inference/normalization engine or full constraint suite was implemented during this mapping study.</x:v>
      </x:c>
      <x:c r="G135" s="28" t="str">
        <x:v>Define the future validation boundary for any adopted PROV specimen.</x:v>
      </x:c>
      <x:c r="H135" s="28" t="str">
        <x:v>Positive/negative constraint cases including timing and identity; keep local regression checks labeled narrower.</x:v>
      </x:c>
      <x:c r="I135" s="28" t="str">
        <x:v>https://www.w3.org/TR/2013/REC-prov-constraints-20130430/</x:v>
      </x:c>
    </x:row>
    <x:row r="136" ht="175" customHeight="1">
      <x:c r="A136" s="28" t="str">
        <x:v>S131</x:v>
      </x:c>
      <x:c r="B136" s="28" t="str">
        <x:v>PROV-AQ: Provenance Access and Query</x:v>
      </x:c>
      <x:c r="C136" s="28" t="str">
        <x:v>CANDIDATE ACCESS PATTERN</x:v>
      </x:c>
      <x:c r="D136" s="28" t="str">
        <x:v>Producer HTTP metadata and provenance-aware consumer.</x:v>
      </x:c>
      <x:c r="E136" s="28" t="str">
        <x:v>Apply HTTP Web Linking and the Note’s target/anchor semantics; keep the representation’s existing media-type meaning.</x:v>
      </x:c>
      <x:c r="F136" s="28" t="str">
        <x:v>The Note is not a W3C Recommendation. Current server support and MPSS publication requirements remain untested.</x:v>
      </x:c>
      <x:c r="G136" s="28" t="str">
        <x:v>Candidate companion-link pattern using the complete extension relation URI and an identified representation/version.</x:v>
      </x:c>
      <x:c r="H136" s="28" t="str">
        <x:v>Follow link to the correct version’s provenance; reject accidental use of a mutable latest record as an immutable evidence target.</x:v>
      </x:c>
      <x:c r="I136" s="28" t="str">
        <x:v>https://www.w3.org/TR/2013/NOTE-prov-aq-20130430/</x:v>
      </x:c>
    </x:row>
    <x:row r="137" ht="175" customHeight="1">
      <x:c r="A137" s="28" t="str">
        <x:v>S132</x:v>
      </x:c>
      <x:c r="B137" s="28" t="str">
        <x:v>Semantic Sensor Network Ontology – 2023 Edition</x:v>
      </x:c>
      <x:c r="C137" s="28" t="str">
        <x:v>INFORMATIVE ALIGNMENT COMPARATOR</x:v>
      </x:c>
      <x:c r="D137" s="28" t="str">
        <x:v>Optional future ontology alignment, not present CSAPI service conformance.</x:v>
      </x:c>
      <x:c r="E137" s="28" t="str">
        <x:v>Exact dated modules, dependencies and alignment axioms must be selected; do not apply only a convenient class equivalence.</x:v>
      </x:c>
      <x:c r="F137" s="28" t="str">
        <x:v>Not a Recommendation; no mandatory upgrade of the approved OGC baseline. Keep S99’s 12 October draft as history.</x:v>
      </x:c>
      <x:c r="G137" s="28" t="str">
        <x:v>Record explicit donor-to-donor alignment; compare the act of observing with the separately versioned record describing it.</x:v>
      </x:c>
      <x:c r="H137" s="28" t="str">
        <x:v>Test mixed collection membership and qualified procedure association; avoid typing an information-record entity as the observation act by accident.</x:v>
      </x:c>
      <x:c r="I137" s="28" t="str">
        <x:v>https://www.w3.org/TR/2026/WD-vocab-ssn-2023-20261021/</x:v>
      </x:c>
    </x:row>
    <x:row r="138" ht="175" customHeight="1">
      <x:c r="A138" s="28" t="str">
        <x:v>S133</x:v>
      </x:c>
      <x:c r="B138" s="28" t="str">
        <x:v>Data Catalog Vocabulary (DCAT) – Version 3</x:v>
      </x:c>
      <x:c r="C138" s="28" t="str">
        <x:v>DEFER UNLESS PRODUCT CATALOG NEED IS SHOWN</x:v>
      </x:c>
      <x:c r="D138" s="28" t="str">
        <x:v>Optional product catalog description, not mandatory CSAPI or artifact wrapper.</x:v>
      </x:c>
      <x:c r="E138" s="28" t="str">
        <x:v>Select applicable DCAT classes/properties and imported vocabularies before claiming a DCAT profile; define profile-level constraints separately.</x:v>
      </x:c>
      <x:c r="F138" s="28" t="str">
        <x:v>A file is not automatically a dataset, and a catalog vocabulary does not define evidence sufficiency or a screening case.</x:v>
      </x:c>
      <x:c r="G138" s="28" t="str">
        <x:v>Conditional candidate for describing published sensing products and multiple representations.</x:v>
      </x:c>
      <x:c r="H138" s="28" t="str">
        <x:v>Check data-versus-distribution identity, access/download link roles, format and version; do not infer equivalence from matching file names.</x:v>
      </x:c>
      <x:c r="I138" s="28" t="str">
        <x:v>https://www.w3.org/TR/vocab-dcat-3/</x:v>
      </x:c>
    </x:row>
    <x:row r="139" ht="175" customHeight="1">
      <x:c r="A139" s="28" t="str">
        <x:v>S134</x:v>
      </x:c>
      <x:c r="B139" s="28" t="str">
        <x:v>Case Management Model and Notation (CMMN)</x:v>
      </x:c>
      <x:c r="C139" s="28" t="str">
        <x:v>DEFER: NOT NEEDED TO MAP ONE RETURNED DECISION</x:v>
      </x:c>
      <x:c r="D139" s="28" t="str">
        <x:v>Future case modeling tool or companion service only if required.</x:v>
      </x:c>
      <x:c r="E139" s="28" t="str">
        <x:v>Choose the relevant §2 conformance point and associated metamodel/notation requirements; a generic evidence list does not satisfy it.</x:v>
      </x:c>
      <x:c r="F139" s="28" t="str">
        <x:v>Borrowing CaseFile ideas is not CMMN implementation. No complete workflow or case engine is selected.</x:v>
      </x:c>
      <x:c r="G139" s="28" t="str">
        <x:v>Conditional research source when an investigation has a lifecycle beyond a recorded command/result.</x:v>
      </x:c>
      <x:c r="H139" s="28" t="str">
        <x:v>Case identity, lifecycle and information-item relations would need actual CMMN exchange/model tests.</x:v>
      </x:c>
      <x:c r="I139" s="28" t="str">
        <x:v>https://www.omg.org/spec/CMMN/1.1/PDF</x:v>
      </x:c>
    </x:row>
    <x:row r="140" ht="175" customHeight="1">
      <x:c r="A140" s="28" t="str">
        <x:v>S135</x:v>
      </x:c>
      <x:c r="B140" s="28" t="str">
        <x:v>OGC API – Processes – Part 1: Core</x:v>
      </x:c>
      <x:c r="C140" s="28" t="str">
        <x:v>DEFER: EXISTING COMMAND/RESULT FIRST</x:v>
      </x:c>
      <x:c r="D140" s="28" t="str">
        <x:v>Optional external processing service.</x:v>
      </x:c>
      <x:c r="E140" s="28" t="str">
        <x:v>If selected, declare exact Part1 requirements classes and dependencies for process description/execution/jobs/results and use corresponding Annex A tests.</x:v>
      </x:c>
      <x:c r="F140" s="28" t="str">
        <x:v>Not required merely because OSCAR calls WebID or Cambio. No Processes service or latest-edition claim.</x:v>
      </x:c>
      <x:c r="G140" s="28" t="str">
        <x:v>Compare only where a CSAPI command/result is insufficient for the actual execution-management requirement.</x:v>
      </x:c>
      <x:c r="H140" s="28" t="str">
        <x:v>Submit, monitor and retrieve a chosen job with exact inputs/outputs; no such live service test was run here.</x:v>
      </x:c>
      <x:c r="I140" s="28" t="str">
        <x:v>https://docs.ogc.org/is/18-062r2/18-062r2.html</x:v>
      </x:c>
    </x:row>
    <x:row r="141" ht="175" customHeight="1">
      <x:c r="A141" s="28" t="str">
        <x:v>S136</x:v>
      </x:c>
      <x:c r="B141" s="28" t="str">
        <x:v>Detection at State Borders of Nuclear and Other Radioactive Material out of Regulatory Control</x:v>
      </x:c>
      <x:c r="C141" s="28" t="str">
        <x:v>DOMAIN CONTEXT ONLY</x:v>
      </x:c>
      <x:c r="D141" s="28" t="str">
        <x:v>Research requirements vocabulary and later domain-expert review.</x:v>
      </x:c>
      <x:c r="E141" s="28" t="str">
        <x:v>Guidance reuse must be attributed; no IAEA software conformance claim follows.</x:v>
      </x:c>
      <x:c r="F141" s="28" t="str">
        <x:v>No comprehensive clause-level implementation assessment, operational certification or legal guidance.</x:v>
      </x:c>
      <x:c r="G141" s="28" t="str">
        <x:v>Use to frame information requirements, not to manufacture a machine schema or universal decision classification.</x:v>
      </x:c>
      <x:c r="H141" s="28" t="str">
        <x:v>Validate proposed information requirements against actual domain workflows and exact guidance before adoption.</x:v>
      </x:c>
      <x:c r="I141" s="28" t="str">
        <x:v>https://nucleus.iaea.org/sites/nss-oui/Published%20Collections/m_9c5cd7cc-4f40-427c-87c9-c81e6fb0acb3/m_9c5cd7cc-4f40-427c-87c9-c81e6fb0acb3__3_0.Html</x:v>
      </x:c>
    </x:row>
    <x:row r="142" ht="175" customHeight="1">
      <x:c r="A142" s="28" t="str">
        <x:v>S137</x:v>
      </x:c>
      <x:c r="B142" s="28" t="str">
        <x:v>Documentary Standards: IEC 62755 Standard (N42 Data Format)</x:v>
      </x:c>
      <x:c r="C142" s="28" t="str">
        <x:v>CONTEXT / NORMATIVE ACCESS GATED</x:v>
      </x:c>
      <x:c r="D142" s="28" t="str">
        <x:v>Potential IEC source mapping when an actual donor claims this edition.</x:v>
      </x:c>
      <x:c r="E142" s="28" t="str">
        <x:v>Exact IEC edition/amendment and normative artifacts required; access gate remains.</x:v>
      </x:c>
      <x:c r="F142" s="28" t="str">
        <x:v>No automatic interchangeability, native conformance or shared schema-byte assertion.</x:v>
      </x:c>
      <x:c r="G142" s="28" t="str">
        <x:v>Record relationship with N42 and verify edition-specific requirements before asserting equivalence.</x:v>
      </x:c>
      <x:c r="H142" s="28" t="str">
        <x:v>Future native validation and semantics comparison; not completed.</x:v>
      </x:c>
      <x:c r="I142" s="28" t="str">
        <x:v>https://www.nist.gov/programs-projects/documentary-standards-iec-62755-standard-n42-data-format</x:v>
      </x:c>
    </x:row>
    <x:row r="143" ht="175" customHeight="1">
      <x:c r="A143" s="28" t="str">
        <x:v>S138</x:v>
      </x:c>
      <x:c r="B143" s="28" t="str">
        <x:v>OSCAR viewer – pinned discovery and stream interpretation implementation</x:v>
      </x:c>
      <x:c r="C143" s="28" t="str">
        <x:v>REUSE IMPLEMENTATION EVIDENCE</x:v>
      </x:c>
      <x:c r="D143" s="28" t="str">
        <x:v>OSCAR adapter and independent client comparison.</x:v>
      </x:c>
      <x:c r="E143" s="28" t="str">
        <x:v>Mapping authored against the pinned source; base CSAPI requirements remain distinct from OSCAR convention compatibility.</x:v>
      </x:c>
      <x:c r="F143" s="28" t="str">
        <x:v>No full repository audit, runtime reproduction or assertion that every application convention is nonconformant.</x:v>
      </x:c>
      <x:c r="G143" s="28" t="str">
        <x:v>Donor implementation evidence for a competent generic baseline and explicit relationship/access mapping.</x:v>
      </x:c>
      <x:c r="H143" s="28" t="str">
        <x:v>Opaque identifiers, unchanged reference semantics, explicit URI resolution, unknown-property fallback.</x:v>
      </x:c>
      <x:c r="I143" s="28" t="str">
        <x:v>https://github.com/Botts-Innovative-Research/oscar-viewer/tree/4b49c7cedc841c875dbb63613dfd21c34b8fa6ed</x:v>
      </x:c>
    </x:row>
    <x:row r="144" ht="175" customHeight="1">
      <x:c r="A144" s="28" t="str">
        <x:v>S139</x:v>
      </x:c>
      <x:c r="B144" s="28" t="str">
        <x:v>OSCAR server modules and bundled N42 artifacts – pinned implementation</x:v>
      </x:c>
      <x:c r="C144" s="28" t="str">
        <x:v>REUSE IMPLEMENTATION / EXAMPLE EVIDENCE</x:v>
      </x:c>
      <x:c r="D144" s="28" t="str">
        <x:v>Authored mapping specimen and later native adapter.</x:v>
      </x:c>
      <x:c r="E144" s="28" t="str">
        <x:v>Preserve field meanings, source scopes, XML editions and actual target types. Do not manufacture unit, algorithm-version or physical-containment evidence.</x:v>
      </x:c>
      <x:c r="F144" s="28" t="str">
        <x:v>No live source instance supplied. Synthetic walkthrough values are not captured OSCAR data; Annex D/E are historical examples, not the same runtime event.</x:v>
      </x:c>
      <x:c r="G144" s="28" t="str">
        <x:v>Primary source-contract mapping and separate donor-example fact extraction.</x:v>
      </x:c>
      <x:c r="H144" s="28" t="str">
        <x:v>Every inspected field receives a disposition; IDs remain scoped; non-inference checks separate membership, use and derivation.</x:v>
      </x:c>
      <x:c r="I144" s="28" t="str">
        <x:v>https://github.com/Botts-Innovative-Research/osh-oakridge-modules/tree/817f408a017302387f4f427b9b7f8ec5bcb62c70</x:v>
      </x:c>
    </x:row>
    <x:row r="145" ht="175" customHeight="1">
      <x:c r="A145" s="28" t="str">
        <x:v>S140</x:v>
      </x:c>
      <x:c r="B145" s="28" t="str">
        <x:v>OSCAR build-node and System Documentation Manual 3.5 – pinned bundle</x:v>
      </x:c>
      <x:c r="C145" s="28" t="str">
        <x:v>REUSE OPERATIONAL CONTEXT</x:v>
      </x:c>
      <x:c r="D145" s="28" t="str">
        <x:v>Research workflow trace and source-specific interface documentation.</x:v>
      </x:c>
      <x:c r="E145" s="28" t="str">
        <x:v>No conformance class is defined by this manual; compare each claimed standards use with the governing source.</x:v>
      </x:c>
      <x:c r="F145" s="28" t="str">
        <x:v>Manual3.5 inside the inspected newer build is not proof that all described behavior was executed or unchanged.</x:v>
      </x:c>
      <x:c r="G145" s="28" t="str">
        <x:v>Bound the worked case and distinguish information requirements from software implementation responsibilities.</x:v>
      </x:c>
      <x:c r="H145" s="28" t="str">
        <x:v>Future runtime trace must verify selected documentation against actual deployed build without conflating old manual version.</x:v>
      </x:c>
      <x:c r="I145" s="28" t="str">
        <x:v>https://github.com/Botts-Innovative-Research/osh-oakridge-buildnode/tree/ab8b847b662152bd949157197182bfdf8c429d21</x:v>
      </x:c>
    </x:row>
  </x:sheetData>
  <x:mergeCells>
    <x:mergeCell ref="A1:I1"/>
    <x:mergeCell ref="A3:I3"/>
  </x:mergeCells>
  <x:pageMargins left="0.7" right="0.7" top="0.75" bottom="0.75" header="0.3" footer="0.3"/>
  <x:tableParts count="1">
    <x:tablePart xmlns:r="http://schemas.openxmlformats.org/officeDocument/2006/relationships" r:id="R7ab47eb15e524698"/>
  </x:tableParts>
</x:worksheet>
</file>

<file path=xl/worksheets/sheet12.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9" hidden="0" customWidth="1"/>
    <x:col min="2" max="2" width="28" hidden="0" customWidth="1"/>
    <x:col min="3" max="3" width="22" hidden="0" customWidth="1"/>
    <x:col min="4" max="4" width="36" hidden="0" customWidth="1"/>
    <x:col min="5" max="5" width="40" hidden="0" customWidth="1"/>
    <x:col min="6" max="6" width="40" hidden="0" customWidth="1"/>
    <x:col min="7" max="7" width="32" hidden="0" customWidth="1"/>
    <x:col min="8" max="8" width="40" hidden="0" customWidth="1"/>
  </x:cols>
  <x:sheetData>
    <x:row r="1" ht="34" customHeight="1">
      <x:c r="A1" s="95" t="str">
        <x:v>DOMAIN CONTENT • COMPARATIVE FINDINGS</x:v>
      </x:c>
      <x:c r="B1" s="95"/>
      <x:c r="C1" s="95"/>
      <x:c r="D1" s="95"/>
      <x:c r="E1" s="95"/>
      <x:c r="F1" s="95"/>
      <x:c r="G1" s="95"/>
      <x:c r="H1" s="95"/>
    </x:row>
    <x:row r="2" ht="18" customHeight="1">
      <x:c r="A2" s="98" t="str">
        <x:v>Landscape comparisons retained; see Worked Comparison and Word Section 2 for case-specific findings (v0.6).</x:v>
      </x:c>
      <x:c r="B2" s="98"/>
      <x:c r="C2" s="98"/>
      <x:c r="D2" s="98"/>
      <x:c r="E2" s="98"/>
      <x:c r="F2" s="98"/>
      <x:c r="G2" s="98"/>
      <x:c r="H2" s="98"/>
    </x:row>
    <x:row r="3" ht="18" customHeight="1">
      <x:c r="A3" s="305" t="str">
        <x:v>HISTORICAL RECORD PRESERVED. Current v0.9 status: see Workstream Ledger, Applied R01-R20, Evidence Gates, Donor Coverage and Integration Gaps.</x:v>
      </x:c>
      <x:c r="B3" s="98"/>
      <x:c r="C3" s="98"/>
      <x:c r="D3" s="98"/>
      <x:c r="E3" s="98"/>
      <x:c r="F3" s="98"/>
      <x:c r="G3" s="98"/>
      <x:c r="H3" s="98"/>
    </x:row>
    <x:row r="4" ht="9" customHeight="1">
      <x:c r="A4" s="89"/>
      <x:c r="B4" s="89"/>
      <x:c r="C4" s="89"/>
      <x:c r="D4" s="89"/>
      <x:c r="E4" s="89"/>
      <x:c r="F4" s="89"/>
      <x:c r="G4" s="89"/>
      <x:c r="H4" s="89"/>
    </x:row>
    <x:row r="5" ht="45" customHeight="1">
      <x:c r="A5" s="101" t="str">
        <x:v>ID</x:v>
      </x:c>
      <x:c r="B5" s="101" t="str">
        <x:v>Information subject</x:v>
      </x:c>
      <x:c r="C5" s="101" t="str">
        <x:v>Evidence / source IDs</x:v>
      </x:c>
      <x:c r="D5" s="101" t="str">
        <x:v>Competent OGC baseline</x:v>
      </x:c>
      <x:c r="E5" s="101" t="str">
        <x:v>What the candidate adds</x:v>
      </x:c>
      <x:c r="F5" s="101" t="str">
        <x:v>What remains custom / unresolved</x:v>
      </x:c>
      <x:c r="G5" s="101" t="str">
        <x:v>Recommendation</x:v>
      </x:c>
      <x:c r="H5" s="101" t="str">
        <x:v>Evidence / implementation boundary</x:v>
      </x:c>
    </x:row>
    <x:row r="6" ht="82" hidden="0" customHeight="1">
      <x:c r="A6" s="104" t="str">
        <x:v>C01</x:v>
      </x:c>
      <x:c r="B6" s="102" t="str">
        <x:v>Model and instance descriptions</x:v>
      </x:c>
      <x:c r="C6" s="102" t="str">
        <x:v>S01, S20–S21, S33</x:v>
      </x:c>
      <x:c r="D6" s="102" t="str">
        <x:v>SensorML typeOf, identifiers, characteristics/capabilities</x:v>
      </x:c>
      <x:c r="E6" s="102" t="str">
        <x:v>Marine conventions coordinate fields, values and vocabularies, not a second architecture.</x:v>
      </x:c>
      <x:c r="F6" s="102" t="str">
        <x:v>Current bindings and chosen shared terminology remain ours.</x:v>
      </x:c>
      <x:c r="G6" s="102" t="str">
        <x:v>Priority coordinated OGC descriptions</x:v>
      </x:c>
      <x:c r="H6" s="102" t="str">
        <x:v>Historical community content; current profile not claimed.</x:v>
      </x:c>
    </x:row>
    <x:row r="7" ht="82" hidden="0" customHeight="1">
      <x:c r="A7" s="105" t="str">
        <x:v>C02</x:v>
      </x:c>
      <x:c r="B7" s="89" t="str">
        <x:v>Equipment and composition across the system family</x:v>
      </x:c>
      <x:c r="C7" s="89" t="str">
        <x:v>S03, S08, S37, S47, S52</x:v>
      </x:c>
      <x:c r="D7" s="89" t="str">
        <x:v>OGC system descriptions and relationships; locally authored domain knowledge has a cost.</x:v>
      </x:c>
      <x:c r="E7" s="89" t="str">
        <x:v>Hardware/asset models can supply reusable equipment semantics within the family.</x:v>
      </x:c>
      <x:c r="F7" s="89" t="str">
        <x:v>Select exact definitions, specialization and bindings; preserve useful system-specific depth.</x:v>
      </x:c>
      <x:c r="G7" s="89" t="str">
        <x:v>Compare substantive models within the broader scope; do not infer rejection from sparse cases.</x:v>
      </x:c>
      <x:c r="H7" s="89" t="str">
        <x:v>No native model or conformance result yet selected.</x:v>
      </x:c>
    </x:row>
    <x:row r="8" ht="82" hidden="0" customHeight="1">
      <x:c r="A8" s="104" t="str">
        <x:v>C03</x:v>
      </x:c>
      <x:c r="B8" s="102" t="str">
        <x:v>Distributed hierarchy and component records</x:v>
      </x:c>
      <x:c r="C8" s="102" t="str">
        <x:v>S08, S37</x:v>
      </x:c>
      <x:c r="D8" s="102" t="str">
        <x:v>CSAPI resource links and composition</x:v>
      </x:c>
      <x:c r="E8" s="102" t="str">
        <x:v>AAS Full/One Down/One Up and co/self-managed entities address different distribution choices.</x:v>
      </x:c>
      <x:c r="F8" s="102" t="str">
        <x:v>Generic hierarchy alone does not justify another representation.</x:v>
      </x:c>
      <x:c r="G8" s="102" t="str">
        <x:v>Conditional AAS alternative</x:v>
      </x:c>
      <x:c r="H8" s="102" t="str">
        <x:v>Native AAS artifact needed for native claim; reference resolution matters.</x:v>
      </x:c>
    </x:row>
    <x:row r="9" ht="82" hidden="0" customHeight="1">
      <x:c r="A9" s="105" t="str">
        <x:v>C04</x:v>
      </x:c>
      <x:c r="B9" s="89" t="str">
        <x:v>Technical properties / product information</x:v>
      </x:c>
      <x:c r="C9" s="89" t="str">
        <x:v>S01–S02, S36</x:v>
      </x:c>
      <x:c r="D9" s="89" t="str">
        <x:v>Typed and semantically defined OGC descriptions</x:v>
      </x:c>
      <x:c r="E9" s="89" t="str">
        <x:v>TechnicalData supplies a frame but leaves domain property structure to domain agreements.</x:v>
      </x:c>
      <x:c r="F9" s="89" t="str">
        <x:v>Still need sensor-specific meanings, dictionary choice and binding.</x:v>
      </x:c>
      <x:c r="G9" s="89" t="str">
        <x:v>Do not select a second generic frame now</x:v>
      </x:c>
      <x:c r="H9" s="89" t="str">
        <x:v>Useful for actual AAS-origin descriptions; not a UGS vocabulary.</x:v>
      </x:c>
    </x:row>
    <x:row r="10" ht="82" hidden="0" customHeight="1">
      <x:c r="A10" s="104" t="str">
        <x:v>C05</x:v>
      </x:c>
      <x:c r="B10" s="102" t="str">
        <x:v>Required/offered functions and realization</x:v>
      </x:c>
      <x:c r="C10" s="102" t="str">
        <x:v>S01, S04, S39</x:v>
      </x:c>
      <x:c r="D10" s="102" t="str">
        <x:v>SensorML process/performance; CSAPI commands</x:v>
      </x:c>
      <x:c r="E10" s="102" t="str">
        <x:v>AAS Capability Description distinguishes required/offered functions, constraints and skills.</x:v>
      </x:c>
      <x:c r="F10" s="102" t="str">
        <x:v>Sensing effects, domain definitions and command mappings remain undefined.</x:v>
      </x:c>
      <x:c r="G10" s="102" t="str">
        <x:v>Conditional planning candidate</x:v>
      </x:c>
      <x:c r="H10" s="102" t="str">
        <x:v>Not needed merely to display a measurement range.</x:v>
      </x:c>
    </x:row>
    <x:row r="11" ht="82" hidden="0" customHeight="1">
      <x:c r="A11" s="105" t="str">
        <x:v>C06</x:v>
      </x:c>
      <x:c r="B11" s="89" t="str">
        <x:v>Asset continuity and installation changes</x:v>
      </x:c>
      <x:c r="C11" s="89" t="str">
        <x:v>S16, S18, S35</x:v>
      </x:c>
      <x:c r="D11" s="89" t="str">
        <x:v>SensorML history and CSAPI Deployment candidates</x:v>
      </x:c>
      <x:c r="E11" s="89" t="str">
        <x:v>CCOM distinguishes Model/Asset/Segment and association events.</x:v>
      </x:c>
      <x:c r="F11" s="89" t="str">
        <x:v>Exact mandated edition content and OGC representation remain unresolved.</x:v>
      </x:c>
      <x:c r="G11" s="89" t="str">
        <x:v>Priority lifecycle-content candidate</x:v>
      </x:c>
      <x:c r="H11" s="89" t="str">
        <x:v>S35 is RC1, not DISR-listed OSA-EAI 3.2.3a.</x:v>
      </x:c>
    </x:row>
    <x:row r="12" ht="82" hidden="0" customHeight="1">
      <x:c r="A12" s="104" t="str">
        <x:v>C07</x:v>
      </x:c>
      <x:c r="B12" s="102" t="str">
        <x:v>Condition versus maintenance assessment</x:v>
      </x:c>
      <x:c r="C12" s="102" t="str">
        <x:v>S08, S17, S35</x:v>
      </x:c>
      <x:c r="D12" s="102" t="str">
        <x:v>CSAPI Observations; precise property definitions</x:v>
      </x:c>
      <x:c r="E12" s="102" t="str">
        <x:v>Managed state, HealthAssessment and RemainingLifeAssessment are different kinds of information.</x:v>
      </x:c>
      <x:c r="F12" s="102" t="str">
        <x:v>Do not derive diagnosis or readiness from a vendor fault flag.</x:v>
      </x:c>
      <x:c r="G12" s="102" t="str">
        <x:v>OSA-CBM conditional on real assessment exchange</x:v>
      </x:c>
      <x:c r="H12" s="102" t="str">
        <x:v>No condition-processing implementation selected.</x:v>
      </x:c>
    </x:row>
    <x:row r="13" ht="82" hidden="0" customHeight="1">
      <x:c r="A13" s="105" t="str">
        <x:v>C08</x:v>
      </x:c>
      <x:c r="B13" s="89" t="str">
        <x:v>Function/product/location perspectives</x:v>
      </x:c>
      <x:c r="C13" s="89" t="str">
        <x:v>S35, S37–S38</x:v>
      </x:c>
      <x:c r="D13" s="89" t="str">
        <x:v>OGC relationships selected for their actual meaning</x:v>
      </x:c>
      <x:c r="E13" s="89" t="str">
        <x:v>IEC-based AAS extension explicitly connects separate aspect hierarchies.</x:v>
      </x:c>
      <x:c r="F13" s="89" t="str">
        <x:v>Military roles and sensor strings are not automatically engineering aspects.</x:v>
      </x:c>
      <x:c r="G13" s="89" t="str">
        <x:v>Targeted semantic reference</x:v>
      </x:c>
      <x:c r="H13" s="89" t="str">
        <x:v>Not native IEC/IDTA implementation merely from conceptual use.</x:v>
      </x:c>
    </x:row>
    <x:row r="14" ht="82" hidden="0" customHeight="1">
      <x:c r="A14" s="104" t="str">
        <x:v>C09</x:v>
      </x:c>
      <x:c r="B14" s="102" t="str">
        <x:v>Mission and operational participation</x:v>
      </x:c>
      <x:c r="C14" s="102" t="str">
        <x:v>S03, S19, S27; project L1</x:v>
      </x:c>
      <x:c r="D14" s="102" t="str">
        <x:v>Existing CSAPI Deployment model</x:v>
      </x:c>
      <x:c r="E14" s="102" t="str">
        <x:v>MIM/JC3IEDM addresses operational objects/actions, not device internals.</x:v>
      </x:c>
      <x:c r="F14" s="102" t="str">
        <x:v>Mission/plan strings do not identify full operational resources.</x:v>
      </x:c>
      <x:c r="G14" s="102" t="str">
        <x:v>Separate operational-semantic lane</x:v>
      </x:c>
      <x:c r="H14" s="102" t="str">
        <x:v>Current authoritative model release not inspected in depth.</x:v>
      </x:c>
    </x:row>
    <x:row r="15" ht="82" hidden="0" customHeight="1">
      <x:c r="A15" s="105" t="str">
        <x:v>C10</x:v>
      </x:c>
      <x:c r="B15" s="89" t="str">
        <x:v>OPC native-source integration</x:v>
      </x:c>
      <x:c r="C15" s="89" t="str">
        <x:v>S05–S06, S16, S35</x:v>
      </x:c>
      <x:c r="D15" s="89" t="str">
        <x:v>CSAPI adapter/exchange baseline</x:v>
      </x:c>
      <x:c r="E15" s="89" t="str">
        <x:v>PA-DIM specializes Devices; MIMOSA documents proposed OPC cooperation.</x:v>
      </x:c>
      <x:c r="F15" s="89" t="str">
        <x:v>Need an actual partner artifact and transformation; no completed CSAPI bridge found.</x:v>
      </x:c>
      <x:c r="G15" s="89" t="str">
        <x:v>Partner-contingent, not universal preference</x:v>
      </x:c>
      <x:c r="H15" s="89" t="str">
        <x:v>Cooperation intent does not explain DISR absence.</x:v>
      </x:c>
    </x:row>
    <x:row r="16" ht="82" hidden="0" customHeight="1">
      <x:c r="A16" s="104" t="str">
        <x:v>C11</x:v>
      </x:c>
      <x:c r="B16" s="102" t="str">
        <x:v>Units and quantity meanings</x:v>
      </x:c>
      <x:c r="C16" s="102" t="str">
        <x:v>S02, S09–S10, S14–S15</x:v>
      </x:c>
      <x:c r="D16" s="102" t="str">
        <x:v>SWE Common definitions and units</x:v>
      </x:c>
      <x:c r="E16" s="102" t="str">
        <x:v>Small semantic components can complement several models.</x:v>
      </x:c>
      <x:c r="F16" s="102" t="str">
        <x:v>A shared unit does not make measured/rated/assumed facts equivalent.</x:v>
      </x:c>
      <x:c r="G16" s="102" t="str">
        <x:v>Use precise minimal meanings</x:v>
      </x:c>
      <x:c r="H16" s="102" t="str">
        <x:v>No native Battery MIB or whole ontology claim implied.</x:v>
      </x:c>
    </x:row>
    <x:row r="17" ht="82" hidden="0" customHeight="1">
      <x:c r="A17" s="105" t="str">
        <x:v>C12</x:v>
      </x:c>
      <x:c r="B17" s="89" t="str">
        <x:v>Cost and adoption of an added agreement</x:v>
      </x:c>
      <x:c r="C17" s="89" t="str">
        <x:v>S25, S28–S32; S35–S39</x:v>
      </x:c>
      <x:c r="D17" s="89" t="str">
        <x:v>Competent direct OGC baseline</x:v>
      </x:c>
      <x:c r="E17" s="89" t="str">
        <x:v>Value depends on reusable distinctions, not field counts or a larger stack.</x:v>
      </x:c>
      <x:c r="F17" s="89" t="str">
        <x:v>Supplier mapping, exceptions, binding and version ownership remain ours.</x:v>
      </x:c>
      <x:c r="G17" s="89" t="str">
        <x:v>No additional architecture or submission selected</x:v>
      </x:c>
      <x:c r="H17" s="89" t="str">
        <x:v>Qualitative cost assessment; no invented savings metric.</x:v>
      </x:c>
    </x:row>
  </x:sheetData>
  <x:mergeCells>
    <x:mergeCell ref="A1:H1"/>
    <x:mergeCell ref="A2:H3"/>
  </x:mergeCells>
  <x:pageMargins left="0.7" right="0.7" top="0.75" bottom="0.75" header="0.3" footer="0.3"/>
  <x:tableParts count="1">
    <x:tablePart xmlns:r="http://schemas.openxmlformats.org/officeDocument/2006/relationships" r:id="R6b829cfef1cc4c6e"/>
  </x:tableParts>
</x:worksheet>
</file>

<file path=xl/worksheets/sheet13.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9" hidden="0" customWidth="1"/>
    <x:col min="2" max="2" width="28" hidden="0" customWidth="1"/>
    <x:col min="3" max="3" width="38" hidden="0" customWidth="1"/>
    <x:col min="4" max="4" width="36" hidden="0" customWidth="1"/>
    <x:col min="5" max="5" width="35" hidden="0" customWidth="1"/>
    <x:col min="6" max="6" width="35" hidden="0" customWidth="1"/>
    <x:col min="7" max="7" width="38" hidden="0" customWidth="1"/>
    <x:col min="8" max="8" width="40" hidden="0" customWidth="1"/>
    <x:col min="9" max="9" width="40" hidden="0" customWidth="1"/>
  </x:cols>
  <x:sheetData>
    <x:row r="1" ht="34" customHeight="1">
      <x:c r="A1" s="95" t="str">
        <x:v>ARCHIVED v0.3 RULE PROBES — INACTIVE</x:v>
      </x:c>
      <x:c r="B1" s="95"/>
      <x:c r="C1" s="95"/>
      <x:c r="D1" s="95"/>
      <x:c r="E1" s="95"/>
      <x:c r="F1" s="95"/>
      <x:c r="G1" s="95"/>
      <x:c r="H1" s="95"/>
      <x:c r="I1" s="95"/>
    </x:row>
    <x:row r="2" ht="18" customHeight="1">
      <x:c r="A2" s="98" t="str">
        <x:v>Historical isolated synthetic predicates, not complete conformance results. Not part of the current research agenda.</x:v>
      </x:c>
      <x:c r="B2" s="98"/>
      <x:c r="C2" s="98"/>
      <x:c r="D2" s="98"/>
      <x:c r="E2" s="98"/>
      <x:c r="F2" s="98"/>
      <x:c r="G2" s="98"/>
      <x:c r="H2" s="98"/>
      <x:c r="I2" s="98"/>
    </x:row>
    <x:row r="3" ht="18" customHeight="1">
      <x:c r="A3" s="305" t="str">
        <x:v>HISTORICAL RECORD PRESERVED. Current v0.9 status: see Workstream Ledger, Applied R01-R20, Evidence Gates, Donor Coverage and Integration Gaps.</x:v>
      </x:c>
      <x:c r="B3" s="98"/>
      <x:c r="C3" s="98"/>
      <x:c r="D3" s="98"/>
      <x:c r="E3" s="98"/>
      <x:c r="F3" s="98"/>
      <x:c r="G3" s="98"/>
      <x:c r="H3" s="98"/>
      <x:c r="I3" s="98"/>
    </x:row>
    <x:row r="4" ht="9" customHeight="1">
      <x:c r="A4" s="89"/>
      <x:c r="B4" s="89"/>
      <x:c r="C4" s="89"/>
      <x:c r="D4" s="89"/>
      <x:c r="E4" s="89"/>
      <x:c r="F4" s="89"/>
      <x:c r="G4" s="89"/>
      <x:c r="H4" s="89"/>
      <x:c r="I4" s="89"/>
    </x:row>
    <x:row r="5" ht="45" customHeight="1">
      <x:c r="A5" s="101" t="str">
        <x:v>ID</x:v>
      </x:c>
      <x:c r="B5" s="101" t="str">
        <x:v>Synthetic case</x:v>
      </x:c>
      <x:c r="C5" s="101" t="str">
        <x:v>Expected predicate result</x:v>
      </x:c>
      <x:c r="D5" s="101" t="str">
        <x:v>Observed predicate result</x:v>
      </x:c>
      <x:c r="E5" s="101" t="str">
        <x:v>Rule context</x:v>
      </x:c>
      <x:c r="F5" s="101" t="str">
        <x:v>Exact XPath predicate(s)</x:v>
      </x:c>
      <x:c r="G5" s="101" t="str">
        <x:v>Exact synthetic XML fragment</x:v>
      </x:c>
      <x:c r="H5" s="101" t="str">
        <x:v>Source / method</x:v>
      </x:c>
      <x:c r="I5" s="101" t="str">
        <x:v>Claim boundary</x:v>
      </x:c>
    </x:row>
    <x:row r="6" ht="136.5" hidden="0" customHeight="1">
      <x:c r="A6" s="104" t="str">
        <x:v>P01</x:v>
      </x:c>
      <x:c r="B6" s="102" t="str">
        <x:v>Versioned uniqueID from prose</x:v>
      </x:c>
      <x:c r="C6" s="102" t="str">
        <x:v>FAIL</x:v>
      </x:c>
      <x:c r="D6" s="102" t="str">
        <x:v>FAIL</x:v>
      </x:c>
      <x:c r="E6" s="102" t="str">
        <x:v>//sml:identification</x:v>
      </x:c>
      <x:c r="F6" s="126" t="str">
        <x:v>count(sml:IdentifierList/sml:identifier/sml:Term[@definition = 'urn:ogc:def:identifier:OGC:uniqueID']) = 1</x:v>
      </x:c>
      <x:c r="G6" s="126" t="str">
        <x:v>&lt;sml:System xmlns:sml="http://www.opengis.net/sensorML/1.0.1"&gt;&lt;sml:identification&gt;&lt;sml:IdentifierList&gt;&lt;sml:identifier&gt;&lt;sml:Term definition="urn:ogc:def:identifier:OGC:1.0:uniqueID"&gt;&lt;sml:value&gt;urn:example:device:1&lt;/sml:value&gt;&lt;/sml:Term&gt;&lt;/sml:identifier&gt;&lt;/sml:IdentifierList&gt;&lt;/sml:identification&gt;&lt;/sml:System&gt;</x:v>
      </x:c>
      <x:c r="H6" s="102" t="str">
        <x:v>S33 §7.1.1, Listings7-4/7-5; exact predicates, synthetic fragment</x:v>
      </x:c>
      <x:c r="I6" s="102" t="str">
        <x:v>PASS means only that the selected count predicate evaluated true. No claim of document, profile, SensorML, or CSAPI conformance.</x:v>
      </x:c>
    </x:row>
    <x:row r="7" ht="136.5" hidden="0" customHeight="1">
      <x:c r="A7" s="105" t="str">
        <x:v>P02</x:v>
      </x:c>
      <x:c r="B7" s="89" t="str">
        <x:v>Versionless uniqueID from listing</x:v>
      </x:c>
      <x:c r="C7" s="89" t="str">
        <x:v>PASS</x:v>
      </x:c>
      <x:c r="D7" s="89" t="str">
        <x:v>PASS</x:v>
      </x:c>
      <x:c r="E7" s="89" t="str">
        <x:v>//sml:identification</x:v>
      </x:c>
      <x:c r="F7" s="125" t="str">
        <x:v>count(sml:IdentifierList/sml:identifier/sml:Term[@definition = 'urn:ogc:def:identifier:OGC:uniqueID']) = 1</x:v>
      </x:c>
      <x:c r="G7" s="125" t="str">
        <x:v>&lt;sml:System xmlns:sml="http://www.opengis.net/sensorML/1.0.1"&gt;&lt;sml:identification&gt;&lt;sml:IdentifierList&gt;&lt;sml:identifier&gt;&lt;sml:Term definition="urn:ogc:def:identifier:OGC:uniqueID"&gt;&lt;sml:value&gt;urn:example:device:1&lt;/sml:value&gt;&lt;/sml:Term&gt;&lt;/sml:identifier&gt;&lt;/sml:IdentifierList&gt;&lt;/sml:identification&gt;&lt;/sml:System&gt;</x:v>
      </x:c>
      <x:c r="H7" s="89" t="str">
        <x:v>S33 §7.1.1, Listings7-4/7-5; exact predicates, synthetic fragment</x:v>
      </x:c>
      <x:c r="I7" s="89" t="str">
        <x:v>PASS means only that the selected count predicate evaluated true. No claim of document, profile, SensorML, or CSAPI conformance.</x:v>
      </x:c>
    </x:row>
    <x:row r="8" ht="190.5" hidden="0" customHeight="1">
      <x:c r="A8" s="104" t="str">
        <x:v>P03</x:v>
      </x:c>
      <x:c r="B8" s="102" t="str">
        <x:v>Two matching uniqueID terms</x:v>
      </x:c>
      <x:c r="C8" s="102" t="str">
        <x:v>FAIL</x:v>
      </x:c>
      <x:c r="D8" s="102" t="str">
        <x:v>FAIL</x:v>
      </x:c>
      <x:c r="E8" s="102" t="str">
        <x:v>//sml:identification</x:v>
      </x:c>
      <x:c r="F8" s="126" t="str">
        <x:v>count(sml:IdentifierList/sml:identifier/sml:Term[@definition = 'urn:ogc:def:identifier:OGC:uniqueID']) = 1</x:v>
      </x:c>
      <x:c r="G8" s="126" t="str">
        <x:v>&lt;sml:System xmlns:sml="http://www.opengis.net/sensorML/1.0.1"&gt;&lt;sml:identification&gt;&lt;sml:IdentifierList&gt;&lt;sml:identifier&gt;&lt;sml:Term definition="urn:ogc:def:identifier:OGC:uniqueID"&gt;&lt;sml:value&gt;urn:example:device:1&lt;/sml:value&gt;&lt;/sml:Term&gt;&lt;/sml:identifier&gt;&lt;sml:identifier&gt;&lt;sml:Term definition="urn:ogc:def:identifier:OGC:uniqueID"&gt;&lt;sml:value&gt;urn:example:device:2&lt;/sml:value&gt;&lt;/sml:Term&gt;&lt;/sml:identifier&gt;&lt;/sml:IdentifierList&gt;&lt;/sml:identification&gt;&lt;/sml:System&gt;</x:v>
      </x:c>
      <x:c r="H8" s="102" t="str">
        <x:v>S33 §7.1.1, Listings7-4/7-5; exact predicates, synthetic fragment</x:v>
      </x:c>
      <x:c r="I8" s="102" t="str">
        <x:v>PASS means only that the selected count predicate evaluated true. No claim of document, profile, SensorML, or CSAPI conformance.</x:v>
      </x:c>
    </x:row>
    <x:row r="9" ht="70" hidden="0" customHeight="1">
      <x:c r="A9" s="105" t="str">
        <x:v>P04</x:v>
      </x:c>
      <x:c r="B9" s="89" t="str">
        <x:v>No identification context</x:v>
      </x:c>
      <x:c r="C9" s="89" t="str">
        <x:v>NOT EVALUATED</x:v>
      </x:c>
      <x:c r="D9" s="89" t="str">
        <x:v>NOT EVALUATED</x:v>
      </x:c>
      <x:c r="E9" s="89" t="str">
        <x:v>//sml:identification</x:v>
      </x:c>
      <x:c r="F9" s="125" t="str">
        <x:v>count(sml:IdentifierList/sml:identifier/sml:Term[@definition = 'urn:ogc:def:identifier:OGC:uniqueID']) = 1</x:v>
      </x:c>
      <x:c r="G9" s="125" t="str">
        <x:v>&lt;sml:System xmlns:sml="http://www.opengis.net/sensorML/1.0.1"/&gt;</x:v>
      </x:c>
      <x:c r="H9" s="89" t="str">
        <x:v>S33 §7.1.1, Listings7-4/7-5; exact predicates, synthetic fragment</x:v>
      </x:c>
      <x:c r="I9" s="89" t="str">
        <x:v>PASS means only that the selected count predicate evaluated true. No claim of document, profile, SensorML, or CSAPI conformance.</x:v>
      </x:c>
    </x:row>
    <x:row r="10" ht="123" hidden="0" customHeight="1">
      <x:c r="A10" s="104" t="str">
        <x:v>P05</x:v>
      </x:c>
      <x:c r="B10" s="102" t="str">
        <x:v>Matching term with empty value</x:v>
      </x:c>
      <x:c r="C10" s="102" t="str">
        <x:v>PASS</x:v>
      </x:c>
      <x:c r="D10" s="102" t="str">
        <x:v>PASS</x:v>
      </x:c>
      <x:c r="E10" s="102" t="str">
        <x:v>//sml:identification</x:v>
      </x:c>
      <x:c r="F10" s="126" t="str">
        <x:v>count(sml:IdentifierList/sml:identifier/sml:Term[@definition = 'urn:ogc:def:identifier:OGC:uniqueID']) = 1</x:v>
      </x:c>
      <x:c r="G10" s="126" t="str">
        <x:v>&lt;sml:System xmlns:sml="http://www.opengis.net/sensorML/1.0.1"&gt;&lt;sml:identification&gt;&lt;sml:IdentifierList&gt;&lt;sml:identifier&gt;&lt;sml:Term definition="urn:ogc:def:identifier:OGC:uniqueID"&gt;&lt;sml:value&gt;&lt;/sml:value&gt;&lt;/sml:Term&gt;&lt;/sml:identifier&gt;&lt;/sml:IdentifierList&gt;&lt;/sml:identification&gt;&lt;/sml:System&gt;</x:v>
      </x:c>
      <x:c r="H10" s="102" t="str">
        <x:v>S33 §7.1.1, Listings7-4/7-5; exact predicates, synthetic fragment</x:v>
      </x:c>
      <x:c r="I10" s="102" t="str">
        <x:v>PASS means only that the selected count predicate evaluated true. No claim of document, profile, SensorML, or CSAPI conformance.</x:v>
      </x:c>
    </x:row>
    <x:row r="11" ht="190.5" hidden="0" customHeight="1">
      <x:c r="A11" s="105" t="str">
        <x:v>P06</x:v>
      </x:c>
      <x:c r="B11" s="89" t="str">
        <x:v>Versioned longName and shortName</x:v>
      </x:c>
      <x:c r="C11" s="89" t="str">
        <x:v>FAIL, FAIL</x:v>
      </x:c>
      <x:c r="D11" s="89" t="str">
        <x:v>FAIL, FAIL</x:v>
      </x:c>
      <x:c r="E11" s="89" t="str">
        <x:v>//sml:identification</x:v>
      </x:c>
      <x:c r="F11" s="125" t="str">
        <x:v>count(sml:IdentifierList/sml:identifier/sml:Term[@definition = 'urn:ogc:def:identifier:OGC:longName']) = 1
count(sml:IdentifierList/sml:identifier/sml:Term[@definition = 'urn:ogc:def:identifier:OGC:shortName']) = 1</x:v>
      </x:c>
      <x:c r="G11" s="125" t="str">
        <x:v>&lt;sml:System xmlns:sml="http://www.opengis.net/sensorML/1.0.1"&gt;&lt;sml:identification&gt;&lt;sml:IdentifierList&gt;&lt;sml:identifier&gt;&lt;sml:Term definition="urn:ogc:def:identifier:OGC:1.0:longName"&gt;&lt;sml:value&gt;Example device&lt;/sml:value&gt;&lt;/sml:Term&gt;&lt;/sml:identifier&gt;&lt;sml:identifier&gt;&lt;sml:Term definition="urn:ogc:def:identifier:OGC:1.0:shortName"&gt;&lt;sml:value&gt;Example&lt;/sml:value&gt;&lt;/sml:Term&gt;&lt;/sml:identifier&gt;&lt;/sml:IdentifierList&gt;&lt;/sml:identification&gt;&lt;/sml:System&gt;</x:v>
      </x:c>
      <x:c r="H11" s="89" t="str">
        <x:v>S33 §7.1.1, Listings7-4/7-5; exact predicates, synthetic fragment</x:v>
      </x:c>
      <x:c r="I11" s="89" t="str">
        <x:v>PASS means only that the selected count predicate evaluated true. No claim of document, profile, SensorML, or CSAPI conformance.</x:v>
      </x:c>
    </x:row>
    <x:row r="12" ht="177" hidden="0" customHeight="1">
      <x:c r="A12" s="104" t="str">
        <x:v>P07</x:v>
      </x:c>
      <x:c r="B12" s="102" t="str">
        <x:v>Versionless longName and shortName</x:v>
      </x:c>
      <x:c r="C12" s="102" t="str">
        <x:v>PASS, PASS</x:v>
      </x:c>
      <x:c r="D12" s="102" t="str">
        <x:v>PASS, PASS</x:v>
      </x:c>
      <x:c r="E12" s="102" t="str">
        <x:v>//sml:identification</x:v>
      </x:c>
      <x:c r="F12" s="126" t="str">
        <x:v>count(sml:IdentifierList/sml:identifier/sml:Term[@definition = 'urn:ogc:def:identifier:OGC:longName']) = 1
count(sml:IdentifierList/sml:identifier/sml:Term[@definition = 'urn:ogc:def:identifier:OGC:shortName']) = 1</x:v>
      </x:c>
      <x:c r="G12" s="126" t="str">
        <x:v>&lt;sml:System xmlns:sml="http://www.opengis.net/sensorML/1.0.1"&gt;&lt;sml:identification&gt;&lt;sml:IdentifierList&gt;&lt;sml:identifier&gt;&lt;sml:Term definition="urn:ogc:def:identifier:OGC:longName"&gt;&lt;sml:value&gt;Example device&lt;/sml:value&gt;&lt;/sml:Term&gt;&lt;/sml:identifier&gt;&lt;sml:identifier&gt;&lt;sml:Term definition="urn:ogc:def:identifier:OGC:shortName"&gt;&lt;sml:value&gt;Example&lt;/sml:value&gt;&lt;/sml:Term&gt;&lt;/sml:identifier&gt;&lt;/sml:IdentifierList&gt;&lt;/sml:identification&gt;&lt;/sml:System&gt;</x:v>
      </x:c>
      <x:c r="H12" s="102" t="str">
        <x:v>S33 §7.1.1, Listings7-4/7-5; exact predicates, synthetic fragment</x:v>
      </x:c>
      <x:c r="I12" s="102" t="str">
        <x:v>PASS means only that the selected count predicate evaluated true. No claim of document, profile, SensorML, or CSAPI conformance.</x:v>
      </x:c>
    </x:row>
    <x:row r="13" ht="136.5" hidden="0" customHeight="1">
      <x:c r="A13" s="105" t="str">
        <x:v>P08</x:v>
      </x:c>
      <x:c r="B13" s="89" t="str">
        <x:v>LongName only</x:v>
      </x:c>
      <x:c r="C13" s="89" t="str">
        <x:v>PASS, FAIL</x:v>
      </x:c>
      <x:c r="D13" s="89" t="str">
        <x:v>PASS, FAIL</x:v>
      </x:c>
      <x:c r="E13" s="89" t="str">
        <x:v>//sml:identification</x:v>
      </x:c>
      <x:c r="F13" s="125" t="str">
        <x:v>count(sml:IdentifierList/sml:identifier/sml:Term[@definition = 'urn:ogc:def:identifier:OGC:longName']) = 1
count(sml:IdentifierList/sml:identifier/sml:Term[@definition = 'urn:ogc:def:identifier:OGC:shortName']) = 1</x:v>
      </x:c>
      <x:c r="G13" s="125" t="str">
        <x:v>&lt;sml:System xmlns:sml="http://www.opengis.net/sensorML/1.0.1"&gt;&lt;sml:identification&gt;&lt;sml:IdentifierList&gt;&lt;sml:identifier&gt;&lt;sml:Term definition="urn:ogc:def:identifier:OGC:longName"&gt;&lt;sml:value&gt;Example device&lt;/sml:value&gt;&lt;/sml:Term&gt;&lt;/sml:identifier&gt;&lt;/sml:IdentifierList&gt;&lt;/sml:identification&gt;&lt;/sml:System&gt;</x:v>
      </x:c>
      <x:c r="H13" s="89" t="str">
        <x:v>S33 §7.1.1, Listings7-4/7-5; exact predicates, synthetic fragment</x:v>
      </x:c>
      <x:c r="I13" s="89" t="str">
        <x:v>PASS means only that the selected count predicate evaluated true. No claim of document, profile, SensorML, or CSAPI conformance.</x:v>
      </x:c>
    </x:row>
    <x:row r="14" ht="177" hidden="0" customHeight="1">
      <x:c r="A14" s="104" t="str">
        <x:v>P09</x:v>
      </x:c>
      <x:c r="B14" s="102" t="str">
        <x:v>Both name values empty</x:v>
      </x:c>
      <x:c r="C14" s="102" t="str">
        <x:v>PASS, PASS</x:v>
      </x:c>
      <x:c r="D14" s="102" t="str">
        <x:v>PASS, PASS</x:v>
      </x:c>
      <x:c r="E14" s="102" t="str">
        <x:v>//sml:identification</x:v>
      </x:c>
      <x:c r="F14" s="126" t="str">
        <x:v>count(sml:IdentifierList/sml:identifier/sml:Term[@definition = 'urn:ogc:def:identifier:OGC:longName']) = 1
count(sml:IdentifierList/sml:identifier/sml:Term[@definition = 'urn:ogc:def:identifier:OGC:shortName']) = 1</x:v>
      </x:c>
      <x:c r="G14" s="126" t="str">
        <x:v>&lt;sml:System xmlns:sml="http://www.opengis.net/sensorML/1.0.1"&gt;&lt;sml:identification&gt;&lt;sml:IdentifierList&gt;&lt;sml:identifier&gt;&lt;sml:Term definition="urn:ogc:def:identifier:OGC:longName"&gt;&lt;sml:value&gt;&lt;/sml:value&gt;&lt;/sml:Term&gt;&lt;/sml:identifier&gt;&lt;sml:identifier&gt;&lt;sml:Term definition="urn:ogc:def:identifier:OGC:shortName"&gt;&lt;sml:value&gt;&lt;/sml:value&gt;&lt;/sml:Term&gt;&lt;/sml:identifier&gt;&lt;/sml:IdentifierList&gt;&lt;/sml:identification&gt;&lt;/sml:System&gt;</x:v>
      </x:c>
      <x:c r="H14" s="102" t="str">
        <x:v>S33 §7.1.1, Listings7-4/7-5; exact predicates, synthetic fragment</x:v>
      </x:c>
      <x:c r="I14" s="102" t="str">
        <x:v>PASS means only that the selected count predicate evaluated true. No claim of document, profile, SensorML, or CSAPI conformance.</x:v>
      </x:c>
    </x:row>
  </x:sheetData>
  <x:mergeCells>
    <x:mergeCell ref="A1:I1"/>
    <x:mergeCell ref="A2:I3"/>
  </x:mergeCells>
  <x:pageMargins left="0.7" right="0.7" top="0.75" bottom="0.75" header="0.3" footer="0.3"/>
  <x:tableParts count="1">
    <x:tablePart xmlns:r="http://schemas.openxmlformats.org/officeDocument/2006/relationships" r:id="Rcf1ce036842c4517"/>
  </x:tableParts>
</x:worksheet>
</file>

<file path=xl/worksheets/sheet14.xml><?xml version="1.0" encoding="utf-8"?>
<x:worksheet xmlns:x="http://schemas.openxmlformats.org/spreadsheetml/2006/main">
  <x:sheetViews>
    <x:sheetView workbookViewId="0">
      <x:pane ySplit="5" topLeftCell="A6" activePane="bottomLeft" state="frozen"/>
    </x:sheetView>
  </x:sheetViews>
  <x:sheetFormatPr defaultRowHeight="15"/>
  <x:cols>
    <x:col min="1" max="1" width="9" hidden="0" customWidth="1"/>
    <x:col min="2" max="2" width="24" hidden="0" customWidth="1"/>
    <x:col min="3" max="3" width="40" hidden="0" customWidth="1"/>
    <x:col min="4" max="4" width="32" hidden="0" customWidth="1"/>
    <x:col min="5" max="5" width="34" hidden="0" customWidth="1"/>
    <x:col min="6" max="6" width="36" hidden="0" customWidth="1"/>
    <x:col min="7" max="7" width="32" hidden="0" customWidth="1"/>
    <x:col min="8" max="8" width="35" hidden="0" customWidth="1"/>
    <x:col min="9" max="9" width="32" hidden="0" customWidth="1"/>
    <x:col min="10" max="10" width="38" hidden="0" customWidth="1"/>
  </x:cols>
  <x:sheetData>
    <x:row r="1" ht="35" customHeight="1">
      <x:c r="A1" s="228" t="str">
        <x:v>WORKED APPLICATION • EQUIPMENT, CAPABILITIES AND CONFIGURATION</x:v>
      </x:c>
      <x:c r="B1" s="228"/>
      <x:c r="C1" s="228"/>
      <x:c r="D1" s="228"/>
      <x:c r="E1" s="228"/>
      <x:c r="F1" s="228"/>
      <x:c r="G1" s="228"/>
      <x:c r="H1" s="228"/>
      <x:c r="I1" s="228"/>
      <x:c r="J1" s="228"/>
    </x:row>
    <x:row r="2" ht="21" customHeight="1">
      <x:c r="A2" s="231" t="str">
        <x:v>v0.6 | The same source evidence is compared across approaches. Documentary examples are not current device records. Read with Word Section 2; no test campaign or new runtime architecture is proposed.</x:v>
      </x:c>
      <x:c r="B2" s="231"/>
      <x:c r="C2" s="231"/>
      <x:c r="D2" s="231"/>
      <x:c r="E2" s="231"/>
      <x:c r="F2" s="231"/>
      <x:c r="G2" s="231"/>
      <x:c r="H2" s="231"/>
      <x:c r="I2" s="231"/>
      <x:c r="J2" s="231"/>
    </x:row>
    <x:row r="3" ht="21" customHeight="1">
      <x:c r="A3" s="306" t="str">
        <x:v>HISTORICAL RECORD PRESERVED. Current v0.9 status: see Workstream Ledger, Applied R01-R20, Evidence Gates, Donor Coverage and Integration Gaps.</x:v>
      </x:c>
      <x:c r="B3" s="231"/>
      <x:c r="C3" s="231"/>
      <x:c r="D3" s="231"/>
      <x:c r="E3" s="231"/>
      <x:c r="F3" s="231"/>
      <x:c r="G3" s="231"/>
      <x:c r="H3" s="231"/>
      <x:c r="I3" s="231"/>
      <x:c r="J3" s="231"/>
    </x:row>
    <x:row r="4">
      <x:c r="A4" s="226"/>
      <x:c r="B4" s="226"/>
      <x:c r="C4" s="226"/>
      <x:c r="D4" s="226"/>
      <x:c r="E4" s="226"/>
      <x:c r="F4" s="226"/>
      <x:c r="G4" s="226"/>
      <x:c r="H4" s="226"/>
      <x:c r="I4" s="226"/>
      <x:c r="J4" s="226"/>
    </x:row>
    <x:row r="5" ht="35" customHeight="1">
      <x:c r="A5" s="233" t="str">
        <x:v>Case ID</x:v>
      </x:c>
      <x:c r="B5" s="233" t="str">
        <x:v>Source / subject</x:v>
      </x:c>
      <x:c r="C5" s="233" t="str">
        <x:v>What the source supports</x:v>
      </x:c>
      <x:c r="D5" s="233" t="str">
        <x:v>Meaning / evidence scope</x:v>
      </x:c>
      <x:c r="E5" s="233" t="str">
        <x:v>Competent OGC treatment</x:v>
      </x:c>
      <x:c r="F5" s="233" t="str">
        <x:v>Earlier proposed interpretation contribution</x:v>
      </x:c>
      <x:c r="G5" s="233" t="str">
        <x:v>External-model result</x:v>
      </x:c>
      <x:c r="H5" s="233" t="str">
        <x:v>Source-specific work / limit</x:v>
      </x:c>
      <x:c r="I5" s="233" t="str">
        <x:v>Evidence locator</x:v>
      </x:c>
      <x:c r="J5" s="233" t="str">
        <x:v>Source URL / recovery locator</x:v>
      </x:c>
    </x:row>
    <x:row r="6" ht="124" customHeight="1">
      <x:c r="A6" s="234" t="str">
        <x:v>W01</x:v>
      </x:c>
      <x:c r="B6" s="234" t="str">
        <x:v>TRSS / Detector 1</x:v>
      </x:c>
      <x:c r="C6" s="234" t="str">
        <x:v>SEISMIC/ACOUSTIC in the illustrated selection; limited to Detector 1</x:v>
      </x:c>
      <x:c r="D6" s="234" t="str">
        <x:v>Recorded detector choice + model-specific constraint</x:v>
      </x:c>
      <x:c r="E6" s="234" t="str">
        <x:v>Parameter and qualified configuration description</x:v>
      </x:c>
      <x:c r="F6" s="234" t="str">
        <x:v>Recognize choice versus allowed option, without claiming attachment</x:v>
      </x:c>
      <x:c r="G6" s="234" t="str">
        <x:v>No useful additional managed-component assertion</x:v>
      </x:c>
      <x:c r="H6" s="234" t="str">
        <x:v>Preserve detector-position applicability and source vocabulary</x:v>
      </x:c>
      <x:c r="I6" s="234" t="str">
        <x:v>S40, slides 10–11; S01 §8.8</x:v>
      </x:c>
      <x:c r="J6" s="234" t="str">
        <x:v>Library locator: libfile_cbd2e80dc0e081918022604ef8d45f2e; TRSS Details View Research.pptx, slides 10–12</x:v>
      </x:c>
    </x:row>
    <x:row r="7" ht="124" customHeight="1">
      <x:c r="A7" s="234" t="str">
        <x:v>W02</x:v>
      </x:c>
      <x:c r="B7" s="234" t="str">
        <x:v>TRSS / Detector 2</x:v>
      </x:c>
      <x:c r="C7" s="234" t="str">
        <x:v>IRID-II in the illustrated selection; Detector 2 options are separately described</x:v>
      </x:c>
      <x:c r="D7" s="234" t="str">
        <x:v>Recorded detector choice, not an individual detector identity</x:v>
      </x:c>
      <x:c r="E7" s="234" t="str">
        <x:v>Separate parameter with its own allowed values</x:v>
      </x:c>
      <x:c r="F7" s="234" t="str">
        <x:v>Reuse the same handling of choices, not the same allowed set</x:v>
      </x:c>
      <x:c r="G7" s="234" t="str">
        <x:v>No component identity established by the selector</x:v>
      </x:c>
      <x:c r="H7" s="234" t="str">
        <x:v>Keep NONE, where selected, distinct from missing data</x:v>
      </x:c>
      <x:c r="I7" s="234" t="str">
        <x:v>S40, slides 10–11; S01 §§8.2.9, 8.8</x:v>
      </x:c>
      <x:c r="J7" s="234" t="str">
        <x:v>Library locator: libfile_cbd2e80dc0e081918022604ef8d45f2e; TRSS Details View Research.pptx, slides 10–12</x:v>
      </x:c>
    </x:row>
    <x:row r="8" ht="124" customHeight="1">
      <x:c r="A8" s="234" t="str">
        <x:v>W03</x:v>
      </x:c>
      <x:c r="B8" s="234" t="str">
        <x:v>TRSS / Orientation</x:v>
      </x:c>
      <x:c r="C8" s="234" t="str">
        <x:v>Not available for Seismic/Acoustic; the other illustrated detector has a value of 0</x:v>
      </x:c>
      <x:c r="D8" s="234" t="str">
        <x:v>Source-qualified applicability and value</x:v>
      </x:c>
      <x:c r="E8" s="234" t="str">
        <x:v>Parameter/description with source-defined conditions</x:v>
      </x:c>
      <x:c r="F8" s="234" t="str">
        <x:v>Distinguish not applicable from absent or zero</x:v>
      </x:c>
      <x:c r="G8" s="234" t="str">
        <x:v>Hardware hierarchy does not supply applicability or bearing reference</x:v>
      </x:c>
      <x:c r="H8" s="234" t="str">
        <x:v>No absolute heading or alignment inference</x:v>
      </x:c>
      <x:c r="I8" s="234" t="str">
        <x:v>S40, slides 10–11</x:v>
      </x:c>
      <x:c r="J8" s="234" t="str">
        <x:v>Library locator: libfile_cbd2e80dc0e081918022604ef8d45f2e; TRSS Details View Research.pptx, slides 10–12</x:v>
      </x:c>
    </x:row>
    <x:row r="9" ht="124" customHeight="1">
      <x:c r="A9" s="234" t="str">
        <x:v>W04</x:v>
      </x:c>
      <x:c r="B9" s="234" t="str">
        <x:v>OmniSense / Transducer list</x:v>
      </x:c>
      <x:c r="C9" s="234" t="str">
        <x:v>Magnetic; Seismic (ext); Detection Switch 1; Detection Switch 2; Control Switch</x:v>
      </x:c>
      <x:c r="D9" s="234" t="str">
        <x:v>Database-held report of auto-detected connected transducers</x:v>
      </x:c>
      <x:c r="E9" s="234" t="str">
        <x:v>Qualified descriptive list; no manufactured System IDs</x:v>
      </x:c>
      <x:c r="F9" s="234" t="str">
        <x:v>Separate report evidence from algorithm choices and identity claims</x:v>
      </x:c>
      <x:c r="G9" s="234" t="str">
        <x:v>RFC inventory optional only with established managed components</x:v>
      </x:c>
      <x:c r="H9" s="234" t="str">
        <x:v>Retain all labels, source scope and unknown report time</x:v>
      </x:c>
      <x:c r="I9" s="234" t="str">
        <x:v>S41 §6.1.6.1, slide 6; S03 §10.5</x:v>
      </x:c>
      <x:c r="J9" s="234" t="str">
        <x:v>Library locator: libfile_7b30d4a27a44819194bef90e7c7aece4; SADU Details View Research.pptx, slides 1–7</x:v>
      </x:c>
    </x:row>
    <x:row r="10" ht="124" customHeight="1">
      <x:c r="A10" s="234" t="str">
        <x:v>W05</x:v>
      </x:c>
      <x:c r="B10" s="234" t="str">
        <x:v>OmniSense / Detection settings</x:v>
      </x:c>
      <x:c r="C10" s="234" t="str">
        <x:v>Algorithms and sensitivities are separate from transducers; prerequisites are documented</x:v>
      </x:c>
      <x:c r="D10" s="234" t="str">
        <x:v>Algorithm configuration and source-stated necessary conditions</x:v>
      </x:c>
      <x:c r="E10" s="234" t="str">
        <x:v>Parameters/modes plus source documentation</x:v>
      </x:c>
      <x:c r="F10" s="234" t="str">
        <x:v>Common distinction between a function and its required equipment</x:v>
      </x:c>
      <x:c r="G10" s="234" t="str">
        <x:v>No direct equality to RFC hardware admin-state</x:v>
      </x:c>
      <x:c r="H10" s="234" t="str">
        <x:v>Do not turn necessary conditions into proven readiness</x:v>
      </x:c>
      <x:c r="I10" s="234" t="str">
        <x:v>S41 §§6.1.6.2, slide 6 and notes on slide 7</x:v>
      </x:c>
      <x:c r="J10" s="234" t="str">
        <x:v>Library locator: libfile_7b30d4a27a44819194bef90e7c7aece4; SADU Details View Research.pptx, slides 1–7</x:v>
      </x:c>
    </x:row>
    <x:row r="11" ht="124" customHeight="1">
      <x:c r="A11" s="234" t="str">
        <x:v>W06</x:v>
      </x:c>
      <x:c r="B11" s="234" t="str">
        <x:v>OmniSense / Queue workflow</x:v>
      </x:c>
      <x:c r="C11" s="234" t="str">
        <x:v>Changes held in the database until communication with the sensor</x:v>
      </x:c>
      <x:c r="D11" s="234" t="str">
        <x:v>Requested/stored change versus evidence of application</x:v>
      </x:c>
      <x:c r="E11" s="234" t="str">
        <x:v>Source-qualified configuration; Part 2 interaction only when implemented</x:v>
      </x:c>
      <x:c r="F11" s="234" t="str">
        <x:v>Common pending-versus-confirmed handling</x:v>
      </x:c>
      <x:c r="G11" s="234" t="str">
        <x:v>No generic model supplies the vendor acknowledgment evidence</x:v>
      </x:c>
      <x:c r="H11" s="234" t="str">
        <x:v>Keep database and device authority distinct</x:v>
      </x:c>
      <x:c r="I11" s="234" t="str">
        <x:v>S41 §§6–6.1.1, slides 1–2; S04 §10.11</x:v>
      </x:c>
      <x:c r="J11" s="234" t="str">
        <x:v>Library locator: libfile_7b30d4a27a44819194bef90e7c7aece4; SADU Details View Research.pptx, slides 1–7</x:v>
      </x:c>
    </x:row>
    <x:row r="12" ht="124" customHeight="1">
      <x:c r="A12" s="234" t="str">
        <x:v>W07</x:v>
      </x:c>
      <x:c r="B12" s="234" t="str">
        <x:v>OmniSense / Time</x:v>
      </x:c>
      <x:c r="C12" s="234" t="str">
        <x:v>Last Updated concerns the last configuration</x:v>
      </x:c>
      <x:c r="D12" s="234" t="str">
        <x:v>Configuration-related time, not per-transducer observation time</x:v>
      </x:c>
      <x:c r="E12" s="234" t="str">
        <x:v>Preserve the named source time and actual scope</x:v>
      </x:c>
      <x:c r="F12" s="234" t="str">
        <x:v>Common rule against assigning one timestamp to every assertion</x:v>
      </x:c>
      <x:c r="G12" s="234" t="str">
        <x:v>No external hierarchy resolves the missing report time</x:v>
      </x:c>
      <x:c r="H12" s="234" t="str">
        <x:v>Do not manufacture observation or execution time</x:v>
      </x:c>
      <x:c r="I12" s="234" t="str">
        <x:v>S41 §6.1.1, slide 2</x:v>
      </x:c>
      <x:c r="J12" s="234" t="str">
        <x:v>Library locator: libfile_7b30d4a27a44819194bef90e7c7aece4; SADU Details View Research.pptx, slides 1–7</x:v>
      </x:c>
    </x:row>
    <x:row r="13" ht="124" customHeight="1">
      <x:c r="A13" s="234" t="str">
        <x:v>W08</x:v>
      </x:c>
      <x:c r="B13" s="234" t="str">
        <x:v>BME280 / Functions</x:v>
      </x:c>
      <x:c r="C13" s="234" t="str">
        <x:v>Model supports humidity, pressure and temperature measurement</x:v>
      </x:c>
      <x:c r="D13" s="234" t="str">
        <x:v>Product-model functions, not live output or attachment inventory</x:v>
      </x:c>
      <x:c r="E13" s="234" t="str">
        <x:v>General process/outputs and capability qualifications</x:v>
      </x:c>
      <x:c r="F13" s="234" t="str">
        <x:v>Reuse model-versus-instance handling, not detector-slot layout</x:v>
      </x:c>
      <x:c r="G13" s="234" t="str">
        <x:v>No need for an added component model in this model-only case</x:v>
      </x:c>
      <x:c r="H13" s="234" t="str">
        <x:v>No instance, measurement sample or project integration asserted</x:v>
      </x:c>
      <x:c r="I13" s="234" t="str">
        <x:v>S42 general description; S01 §8.2.9</x:v>
      </x:c>
      <x:c r="J13" s="234" t="str">
        <x:v>https://www.bosch-sensortec.com/media/boschsensortec/downloads/datasheets/bst-bme280-ds002.pdf</x:v>
      </x:c>
    </x:row>
    <x:row r="14" ht="124" customHeight="1">
      <x:c r="A14" s="234" t="str">
        <x:v>W09</x:v>
      </x:c>
      <x:c r="B14" s="234" t="str">
        <x:v>BME280 / Configuration options</x:v>
      </x:c>
      <x:c r="C14" s="234" t="str">
        <x:v>Sleep, forced and normal modes; measurements can be enabled or skipped</x:v>
      </x:c>
      <x:c r="D14" s="234" t="str">
        <x:v>Permitted model behavior; selected instance values unknown</x:v>
      </x:c>
      <x:c r="E14" s="234" t="str">
        <x:v>Modes and parameters in a general process description</x:v>
      </x:c>
      <x:c r="F14" s="234" t="str">
        <x:v>Distinguish possible setting from evidenced current setting</x:v>
      </x:c>
      <x:c r="G14" s="234" t="str">
        <x:v>Hardware admin-state is not the measurement-mode vocabulary</x:v>
      </x:c>
      <x:c r="H14" s="234" t="str">
        <x:v>Do not assume reset/default state is current state</x:v>
      </x:c>
      <x:c r="I14" s="234" t="str">
        <x:v>S42 §§3.3–3.4</x:v>
      </x:c>
      <x:c r="J14" s="234" t="str">
        <x:v>https://www.bosch-sensortec.com/media/boschsensortec/downloads/datasheets/bst-bme280-ds002.pdf</x:v>
      </x:c>
    </x:row>
    <x:row r="15" ht="124" customHeight="1">
      <x:c r="A15" s="234" t="str">
        <x:v>W10</x:v>
      </x:c>
      <x:c r="B15" s="234" t="str">
        <x:v>Negative case / Simple descriptive reuse</x:v>
      </x:c>
      <x:c r="C15" s="234" t="str">
        <x:v>A model record without supplied instance state</x:v>
      </x:c>
      <x:c r="D15" s="234" t="str">
        <x:v>Model-level information only</x:v>
      </x:c>
      <x:c r="E15" s="234" t="str">
        <x:v>Direct OGC description is sufficient for the selected task</x:v>
      </x:c>
      <x:c r="F15" s="234" t="str">
        <x:v>No unique functional gain if direct OGC already shares the same rules</x:v>
      </x:c>
      <x:c r="G15" s="234" t="str">
        <x:v>Added hierarchy is not justified</x:v>
      </x:c>
      <x:c r="H15" s="234" t="str">
        <x:v>Choose the simpler treatment where no independent adoption need exists</x:v>
      </x:c>
      <x:c r="I15" s="234" t="str">
        <x:v>W08–W09; PITON §5</x:v>
      </x:c>
      <x:c r="J15" s="234" t="str">
        <x:v>https://www.bosch-sensortec.com/media/boschsensortec/downloads/datasheets/bst-bme280-ds002.pdf</x:v>
      </x:c>
    </x:row>
  </x:sheetData>
  <x:mergeCells>
    <x:mergeCell ref="A1:J1"/>
    <x:mergeCell ref="A3:J3"/>
  </x:mergeCells>
  <x:pageMargins left="0.7" right="0.7" top="0.75" bottom="0.75" header="0.3" footer="0.3"/>
  <x:tableParts count="1">
    <x:tablePart xmlns:r="http://schemas.openxmlformats.org/officeDocument/2006/relationships" r:id="R75e18a42fa91467c"/>
  </x:tableParts>
</x:worksheet>
</file>

<file path=xl/worksheets/sheet15.xml><?xml version="1.0" encoding="utf-8"?>
<x:worksheet xmlns:x="http://schemas.openxmlformats.org/spreadsheetml/2006/main">
  <x:sheetViews>
    <x:sheetView workbookViewId="0">
      <x:pane xSplit="2" ySplit="5" topLeftCell="C6" activePane="bottomRight" state="frozen"/>
    </x:sheetView>
  </x:sheetViews>
  <x:sheetFormatPr defaultRowHeight="15"/>
  <x:cols>
    <x:col min="1" max="1" width="8" hidden="0" customWidth="1"/>
    <x:col min="2" max="2" width="28" hidden="0" customWidth="1"/>
    <x:col min="3" max="3" width="29" hidden="0" customWidth="1"/>
    <x:col min="4" max="4" width="38" hidden="0" customWidth="1"/>
    <x:col min="5" max="5" width="38" hidden="0" customWidth="1"/>
    <x:col min="6" max="6" width="36" hidden="0" customWidth="1"/>
    <x:col min="7" max="7" width="34" hidden="0" customWidth="1"/>
    <x:col min="8" max="8" width="40" hidden="0" customWidth="1"/>
    <x:col min="9" max="9" width="40" hidden="0" customWidth="1"/>
  </x:cols>
  <x:sheetData>
    <x:row r="1" ht="22" customHeight="1">
      <x:c r="A1" s="243" t="str">
        <x:v>MERLIN • ENGINEERING FAMILY AND PROFILE SCOPE</x:v>
      </x:c>
      <x:c r="B1" s="243"/>
      <x:c r="C1" s="243"/>
      <x:c r="D1" s="243"/>
      <x:c r="E1" s="243"/>
      <x:c r="F1" s="243"/>
      <x:c r="G1" s="243"/>
      <x:c r="H1" s="243"/>
      <x:c r="I1" s="243"/>
    </x:row>
    <x:row r="2" ht="22" customHeight="1">
      <x:c r="A2" s="243"/>
      <x:c r="B2" s="243"/>
      <x:c r="C2" s="243"/>
      <x:c r="D2" s="243"/>
      <x:c r="E2" s="243"/>
      <x:c r="F2" s="243"/>
      <x:c r="G2" s="243"/>
      <x:c r="H2" s="243"/>
      <x:c r="I2" s="243"/>
    </x:row>
    <x:row r="3" ht="34" customHeight="1">
      <x:c r="A3" s="307" t="str">
        <x:v>HISTORICAL RECORD PRESERVED. Current v0.9 status: see Workstream Ledger, Applied R01-R20, Evidence Gates, Donor Coverage and Integration Gaps.</x:v>
      </x:c>
      <x:c r="B3" s="244"/>
      <x:c r="C3" s="244"/>
      <x:c r="D3" s="244"/>
      <x:c r="E3" s="244"/>
      <x:c r="F3" s="244"/>
      <x:c r="G3" s="244"/>
      <x:c r="H3" s="244"/>
      <x:c r="I3" s="244"/>
    </x:row>
    <x:row r="4">
      <x:c r="A4" s="239"/>
      <x:c r="B4" s="239"/>
      <x:c r="C4" s="239"/>
      <x:c r="D4" s="239"/>
      <x:c r="E4" s="239"/>
      <x:c r="F4" s="239"/>
      <x:c r="G4" s="239"/>
      <x:c r="H4" s="239"/>
      <x:c r="I4" s="239"/>
    </x:row>
    <x:row r="5" ht="42" customHeight="1">
      <x:c r="A5" s="246" t="str">
        <x:v>ID</x:v>
      </x:c>
      <x:c r="B5" s="246" t="str">
        <x:v>Established category / perspective</x:v>
      </x:c>
      <x:c r="C5" s="246" t="str">
        <x:v>Evidence</x:v>
      </x:c>
      <x:c r="D5" s="246" t="str">
        <x:v>Meaning / contribution</x:v>
      </x:c>
      <x:c r="E5" s="246" t="str">
        <x:v>UGS applicability</x:v>
      </x:c>
      <x:c r="F5" s="246" t="str">
        <x:v>Wider applicability</x:v>
      </x:c>
      <x:c r="G5" s="246" t="str">
        <x:v>Recommendation</x:v>
      </x:c>
      <x:c r="H5" s="246" t="str">
        <x:v>Limit / remaining decision</x:v>
      </x:c>
      <x:c r="I5" s="246" t="str">
        <x:v>Source URL</x:v>
      </x:c>
    </x:row>
    <x:row r="6" ht="80" customHeight="1">
      <x:c r="A6" s="240" t="str">
        <x:v>F01</x:v>
      </x:c>
      <x:c r="B6" s="239" t="str">
        <x:v>Sensor-network node</x:v>
      </x:c>
      <x:c r="C6" s="239" t="str">
        <x:v>ISO/IEC 29182-4; S52</x:v>
      </x:c>
      <x:c r="D6" s="239" t="str">
        <x:v>Physical sensing, computing, communications and power in a network arrangement.</x:v>
      </x:c>
      <x:c r="E6" s="239" t="str">
        <x:v>TRSS and OmniSense are appropriate reference cases by system functions, not asserted ISO implementations.</x:v>
      </x:c>
      <x:c r="F6" s="239" t="str">
        <x:v>Environmental stations; networked sensing nodes.</x:v>
      </x:c>
      <x:c r="G6" s="239" t="str">
        <x:v>Use as scope and coverage reference.</x:v>
      </x:c>
      <x:c r="H6" s="239" t="str">
        <x:v>Preview-level entity overview; no exchange schema selected.</x:v>
      </x:c>
      <x:c r="I6" s="239" t="str">
        <x:v>https://www.iso.org/standard/57094.html</x:v>
      </x:c>
    </x:row>
    <x:row r="7" ht="80" customHeight="1">
      <x:c r="A7" s="240" t="str">
        <x:v>F02</x:v>
      </x:c>
      <x:c r="B7" s="239" t="str">
        <x:v>Physical asset producing data / responding to commands</x:v>
      </x:c>
      <x:c r="C7" s="239" t="str">
        <x:v>OSUS-R Asset and capability schema; S47</x:v>
      </x:c>
      <x:c r="D7" s="239" t="str">
        <x:v>Common device interface and substantive capability/status groupings.</x:v>
      </x:c>
      <x:c r="E7" s="239" t="str">
        <x:v>UGS fit alongside the source’s camera and motion-detector examples.</x:v>
      </x:c>
      <x:c r="F7" s="239" t="str">
        <x:v>Cameras, some mobile sensing platforms, other physical devices; sensing subset selected here.</x:v>
      </x:c>
      <x:c r="G7" s="239" t="str">
        <x:v>Use as concrete domain-content comparator.</x:v>
      </x:c>
      <x:c r="H7" s="239" t="str">
        <x:v>No OSUS Java/OSGi runtime adopted; new OGC binding would remain authored work.</x:v>
      </x:c>
      <x:c r="I7" s="239" t="str">
        <x:v>https://github.com/ssg-udri/OSUS-R/blob/d09088fbe56d4b64f0544d72e98c3cb70fa941f6/mil.dod.th.core/src/mil/dod/th/core/asset/Asset.java</x:v>
      </x:c>
    </x:row>
    <x:row r="8" ht="80" customHeight="1">
      <x:c r="A8" s="240" t="str">
        <x:v>F03</x:v>
      </x:c>
      <x:c r="B8" s="239" t="str">
        <x:v>Smart transducer</x:v>
      </x:c>
      <x:c r="C8" s="239" t="str">
        <x:v>Song and Lee; S48; IEEE/21451 family</x:v>
      </x:c>
      <x:c r="D8" s="239" t="str">
        <x:v>Sensing/actuation plus processing and communication; NCAP/TIM/TEDS bridge precedent.</x:v>
      </x:c>
      <x:c r="E8" s="239" t="str">
        <x:v>Relevant at transducer and gateway boundaries, not proven vendor lineage.</x:v>
      </x:c>
      <x:c r="F8" s="239" t="str">
        <x:v>Environmental monitoring units and instruments.</x:v>
      </x:c>
      <x:c r="G8" s="239" t="str">
        <x:v>Selective interface/model comparator.</x:v>
      </x:c>
      <x:c r="H8" s="239" t="str">
        <x:v>Historical paper does not prescribe today’s CSAPI profile or the complete lifecycle.</x:v>
      </x:c>
      <x:c r="I8" s="239" t="str">
        <x:v>https://tsapps.nist.gov/publication/get_pdf.cfm?pub_id=902312</x:v>
      </x:c>
    </x:row>
    <x:row r="9" ht="80" customHeight="1">
      <x:c r="A9" s="240" t="str">
        <x:v>F04</x:v>
      </x:c>
      <x:c r="B9" s="239" t="str">
        <x:v>Connected computing device with physical/sensing capability</x:v>
      </x:c>
      <x:c r="C9" s="239" t="str">
        <x:v>NISTIR 8259A; S49</x:v>
      </x:c>
      <x:c r="D9" s="239" t="str">
        <x:v>Broad IoT context; cybersecurity scope.</x:v>
      </x:c>
      <x:c r="E9" s="239" t="str">
        <x:v>Corroborates a broader connected-device family.</x:v>
      </x:c>
      <x:c r="F9" s="239" t="str">
        <x:v>Many connected physical devices, too broad as the sole profile definition.</x:v>
      </x:c>
      <x:c r="G9" s="239" t="str">
        <x:v>Background category evidence only.</x:v>
      </x:c>
      <x:c r="H9" s="239" t="str">
        <x:v>Not the chosen domain model or a new security implementation mandate.</x:v>
      </x:c>
      <x:c r="I9" s="239" t="str">
        <x:v>https://nvlpubs.nist.gov/nistpubs/ir/2020/NIST.IR.8259A.pdf</x:v>
      </x:c>
    </x:row>
    <x:row r="10" ht="80" customHeight="1">
      <x:c r="A10" s="240" t="str">
        <x:v>F05</x:v>
      </x:c>
      <x:c r="B10" s="239" t="str">
        <x:v>Energy-managed device / component / power interface</x:v>
      </x:c>
      <x:c r="C10" s="239" t="str">
        <x:v>RFC 7326; S10; RFC 7228 S50</x:v>
      </x:c>
      <x:c r="D10" s="239" t="str">
        <x:v>Power participants and relationships; alternate data-model realizations.</x:v>
      </x:c>
      <x:c r="E10" s="239" t="str">
        <x:v>Power arrangement can cover UGS without being unique to them.</x:v>
      </x:c>
      <x:c r="F10" s="239" t="str">
        <x:v>Other electrically powered sensing systems and potentially wider equipment.</x:v>
      </x:c>
      <x:c r="G10" s="239" t="str">
        <x:v>Priority organizing candidate for Power Source.</x:v>
      </x:c>
      <x:c r="H10" s="239" t="str">
        <x:v>Battery-specific models and exact OGC binding remain sibling selections.</x:v>
      </x:c>
      <x:c r="I10" s="239" t="str">
        <x:v>https://www.rfc-editor.org/rfc/rfc7326.html</x:v>
      </x:c>
    </x:row>
    <x:row r="11" ht="80" customHeight="1">
      <x:c r="A11" s="240" t="str">
        <x:v>F06</x:v>
      </x:c>
      <x:c r="B11" s="239" t="str">
        <x:v>Asset across installation, service and removal</x:v>
      </x:c>
      <x:c r="C11" s="239" t="str">
        <x:v>MIMOSA; S16–S18, S35</x:v>
      </x:c>
      <x:c r="D11" s="239" t="str">
        <x:v>Asset continuity, event participants and condition assessments.</x:v>
      </x:c>
      <x:c r="E11" s="239" t="str">
        <x:v>Relevant to emplacement, operating support and recovery.</x:v>
      </x:c>
      <x:c r="F11" s="239" t="str">
        <x:v>Managed physical equipment beyond UGS.</x:v>
      </x:c>
      <x:c r="G11" s="239" t="str">
        <x:v>Central lifecycle comparison, not deferred out of scope.</x:v>
      </x:c>
      <x:c r="H11" s="239" t="str">
        <x:v>Detailed CCOM RC inspection is not the mandated OSA-EAI edition.</x:v>
      </x:c>
      <x:c r="I11" s="239" t="str">
        <x:v>https://www.mimosa.org/mimosa-ccom/</x:v>
      </x:c>
    </x:row>
    <x:row r="12" ht="80" customHeight="1">
      <x:c r="A12" s="240" t="str">
        <x:v>F07</x:v>
      </x:c>
      <x:c r="B12" s="239" t="str">
        <x:v>System employed for a purpose</x:v>
      </x:c>
      <x:c r="C12" s="239" t="str">
        <x:v>SensorML / CSAPI; S01, S03</x:v>
      </x:c>
      <x:c r="D12" s="239" t="str">
        <x:v>Persistent system description related to deployment-specific information.</x:v>
      </x:c>
      <x:c r="E12" s="239" t="str">
        <x:v>Explicit OGC examples encompass in-situ emplacement and appropriate missions.</x:v>
      </x:c>
      <x:c r="F12" s="239" t="str">
        <x:v>Environmental networks, cameras, mobile payload missions.</x:v>
      </x:c>
      <x:c r="G12" s="239" t="str">
        <x:v>Retain as OGC representation foundation.</x:v>
      </x:c>
      <x:c r="H12" s="239" t="str">
        <x:v>Cardinality and bindings selected by real meaning; no fixed one-sensor/one-deployment rule.</x:v>
      </x:c>
      <x:c r="I12" s="239" t="str">
        <x:v>https://docs.ogc.org/is/23-001/23-001.html</x:v>
      </x:c>
    </x:row>
    <x:row r="13">
      <x:c r="A13" t="str">
        <x:v>F08</x:v>
      </x:c>
      <x:c r="B13" t="str">
        <x:v>Power energy-object/arrangement family</x:v>
      </x:c>
      <x:c r="C13" t="str">
        <x:v>RFC 7326 and RFC 7577; S09–S10, S61–S68</x:v>
      </x:c>
      <x:c r="D13" t="str">
        <x:v>Source, store, consumer, supply, meter and aggregation are separate power roles/relationships</x:v>
      </x:c>
      <x:c r="E13" t="str">
        <x:v>Internal/external battery and shared source relationships</x:v>
      </x:c>
      <x:c r="F13" t="str">
        <x:v>Environmental stations, camera PoE, payload power and supporting equipment</x:v>
      </x:c>
      <x:c r="G13" t="str">
        <x:v>Accept organizing model as drafting basis; OGC binding authored</x:v>
      </x:c>
      <x:c r="H13" t="str">
        <x:v>Native MIB/Redfish/OMA conformance not implied</x:v>
      </x:c>
      <x:c r="I13" t="str">
        <x:v>https://www.rfc-editor.org/rfc/rfc7326.html</x:v>
      </x:c>
    </x:row>
    <x:row r="14">
      <x:c r="A14" t="str">
        <x:v>F09</x:v>
      </x:c>
      <x:c r="B14" t="str">
        <x:v>ISA-managed component</x:v>
      </x:c>
      <x:c r="C14" t="str">
        <x:v>11 ISA docs; S85–S95</x:v>
      </x:c>
      <x:c r="D14" t="str">
        <x:v>Capability declarations and adapters provide meaningful comparison semantics</x:v>
      </x:c>
      <x:c r="E14" t="str">
        <x:v>High for managed deployed ISR/UGS equipment</x:v>
      </x:c>
      <x:c r="F14" t="str">
        <x:v>Other managed device communities only when source facts warrant</x:v>
      </x:c>
      <x:c r="G14" t="str">
        <x:v>Selected rules and explicit ISA runtime exclusion</x:v>
      </x:c>
      <x:c r="H14" t="str">
        <x:v>CCD is component-wide; no universal ready/recording flags</x:v>
      </x:c>
      <x:c r="I14" t="str">
        <x:v>local:ISA_Data_Model_Specification-6.0r12.pdf</x:v>
      </x:c>
    </x:row>
    <x:row r="15">
      <x:c r="A15" t="str">
        <x:v>F10</x:v>
      </x:c>
      <x:c r="B15" t="str">
        <x:v>IEEE smart-transducer channels</x:v>
      </x:c>
      <x:c r="C15" t="str">
        <x:v>IEEE Pass 1A; S71–S84; historical S48</x:v>
      </x:c>
      <x:c r="D15" t="str">
        <x:v>Specific range, uncertainty, calibration, timing, sample and grouping concepts</x:v>
      </x:c>
      <x:c r="E15" t="str">
        <x:v>Strong for legacy UGS sensors and transducers</x:v>
      </x:c>
      <x:c r="F15" t="str">
        <x:v>Environmental sensors, camera channels and scientific probes</x:v>
      </x:c>
      <x:c r="G15" t="str">
        <x:v>Provisional quantitative donor for R04; preserve wider sensing-function</x:v>
      </x:c>
      <x:c r="H15" t="str">
        <x:v>Exact 2024/2010 tables and conditionality unavailable</x:v>
      </x:c>
      <x:c r="I15" t="str">
        <x:v>https://standards.ieee.org/ieee/1451.0/11001/</x:v>
      </x:c>
    </x:row>
    <x:row r="16">
      <x:c r="A16" t="str">
        <x:v>F11</x:v>
      </x:c>
      <x:c r="B16" t="str">
        <x:v>Observations and qualified phenomena</x:v>
      </x:c>
      <x:c r="C16" t="str">
        <x:v>OMS/SSN/I-ADOPT/QUDT; S97–S104, S109</x:v>
      </x:c>
      <x:c r="D16" t="str">
        <x:v>Observer/procedure/host and observed-variable composition describe observed meaning</x:v>
      </x:c>
      <x:c r="E16" t="str">
        <x:v>Operator confidence in geophysical events and condition assessments</x:v>
      </x:c>
      <x:c r="F16" t="str">
        <x:v>Multi-modal environmental and observational communities</x:v>
      </x:c>
      <x:c r="G16" t="str">
        <x:v>Clarify semantics; selected optional variable dictionary</x:v>
      </x:c>
      <x:c r="H16" t="str">
        <x:v>OMS §10.5 full clauses gated, 2026 SSN alignment informative</x:v>
      </x:c>
      <x:c r="I16" t="str">
        <x:v>https://docs.ogc.org/as/20-082r4/20-082r4.html</x:v>
      </x:c>
    </x:row>
    <x:row r="17">
      <x:c r="A17" t="str">
        <x:v>F12</x:v>
      </x:c>
      <x:c r="B17" t="str">
        <x:v>Earth/environmental disciplinary vocabularies</x:v>
      </x:c>
      <x:c r="C17" t="str">
        <x:v>ESIP SWEET; S105–S106</x:v>
      </x:c>
      <x:c r="D17" t="str">
        <x:v>Scientific terms for instruments, media, phenomena and earth processes</x:v>
      </x:c>
      <x:c r="E17" t="str">
        <x:v>Domain-specific extensions for geophysical/meteorological UGS</x:v>
      </x:c>
      <x:c r="F17" t="str">
        <x:v>Environmental, marine, remote-sensing disciplines</x:v>
      </x:c>
      <x:c r="G17" t="str">
        <x:v>Select pinned terms only on explicit use case</x:v>
      </x:c>
      <x:c r="H17" t="str">
        <x:v>Do not import entire ontology as a mandatory layer</x:v>
      </x:c>
      <x:c r="I17" t="str">
        <x:v>https://github.com/ESIPFed/sweet</x:v>
      </x:c>
    </x:row>
  </x:sheetData>
  <x:mergeCells>
    <x:mergeCell ref="A1:I2"/>
    <x:mergeCell ref="A3:I3"/>
  </x:mergeCells>
  <x:pageMargins left="0.7" right="0.7" top="0.75" bottom="0.75" header="0.3" footer="0.3"/>
  <x:tableParts count="1">
    <x:tablePart xmlns:r="http://schemas.openxmlformats.org/officeDocument/2006/relationships" r:id="R632dfb28a9dc4dbc"/>
  </x:tableParts>
</x:worksheet>
</file>

<file path=xl/worksheets/sheet1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6" hidden="0" customWidth="1"/>
    <x:col min="2" max="2" width="40" hidden="0" customWidth="1"/>
    <x:col min="3" max="3" width="28" hidden="0" customWidth="1"/>
    <x:col min="4" max="4" width="50" hidden="0" customWidth="1"/>
    <x:col min="5" max="5" width="42" hidden="0" customWidth="1"/>
    <x:col min="6" max="6" width="52" hidden="0" customWidth="1"/>
    <x:col min="7" max="7" width="38" hidden="0" customWidth="1"/>
  </x:cols>
  <x:sheetData>
    <x:row r="1" ht="42" customHeight="1">
      <x:c r="A1" s="288" t="str">
        <x:v>Study / local ID</x:v>
      </x:c>
      <x:c r="B1" s="288" t="str">
        <x:v>Local source description</x:v>
      </x:c>
      <x:c r="C1" s="288" t="str">
        <x:v>Global source ID / record</x:v>
      </x:c>
      <x:c r="D1" s="288" t="str">
        <x:v>Reconciliation type</x:v>
      </x:c>
      <x:c r="E1" s="288" t="str">
        <x:v>Study version</x:v>
      </x:c>
      <x:c r="F1" s="288" t="str">
        <x:v>Evidence/authority note</x:v>
      </x:c>
      <x:c r="G1" s="288" t="str">
        <x:v>Study original locator</x:v>
      </x:c>
    </x:row>
    <x:row r="2" ht="72" customHeight="1">
      <x:c r="A2" s="291" t="str">
        <x:v>Foundation v1.0 / S01</x:v>
      </x:c>
      <x:c r="B2" s="291" t="str">
        <x:v>W3C, Semantic Sensor Network Ontology</x:v>
      </x:c>
      <x:c r="C2" s="291" t="str">
        <x:v>S13</x:v>
      </x:c>
      <x:c r="D2" s="291" t="str">
        <x:v>Same exact source — original global ID</x:v>
      </x:c>
      <x:c r="E2" s="291" t="str">
        <x:v>14 Oct 2026</x:v>
      </x:c>
      <x:c r="F2" s="291" t="str">
        <x:v>Official HTML, §4–5 including ssn-system module; accessed directly</x:v>
      </x:c>
      <x:c r="G2" s="291" t="str">
        <x:v>https://www.w3.org/TR/2017/REC-vocab-ssn-20171019/</x:v>
      </x:c>
    </x:row>
    <x:row r="3" ht="72" customHeight="1">
      <x:c r="A3" s="291" t="str">
        <x:v>Foundation v1.0 / S02</x:v>
      </x:c>
      <x:c r="B3" s="291" t="str">
        <x:v>W3C/OGC, Semantic Sensor Network Ontology—2023 Edition</x:v>
      </x:c>
      <x:c r="C3" s="291" t="str">
        <x:v>S99</x:v>
      </x:c>
      <x:c r="D3" s="291" t="str">
        <x:v>Unique new source / artifact</x:v>
      </x:c>
      <x:c r="E3" s="291" t="str">
        <x:v>14 Oct 2026</x:v>
      </x:c>
      <x:c r="F3" s="291" t="str">
        <x:v>Official HTML: §§5.3–5.6, 6.1, 7.3.1 (informative), 8 and Appendix D (non-normative)</x:v>
      </x:c>
      <x:c r="G3" s="291" t="str">
        <x:v>https://www.w3.org/TR/2026/WD-vocab-ssn-2023-20261012/</x:v>
      </x:c>
    </x:row>
    <x:row r="4" ht="72" customHeight="1">
      <x:c r="A4" s="291" t="str">
        <x:v>Foundation v1.0 / S03</x:v>
      </x:c>
      <x:c r="B4" s="291" t="str">
        <x:v>OGC, API—Connected Systems Part 1: Feature Resources</x:v>
      </x:c>
      <x:c r="C4" s="291" t="str">
        <x:v>S03</x:v>
      </x:c>
      <x:c r="D4" s="291" t="str">
        <x:v>Same exact source — original global ID</x:v>
      </x:c>
      <x:c r="E4" s="291" t="str">
        <x:v>14 Oct 2026</x:v>
      </x:c>
      <x:c r="F4" s="291" t="str">
        <x:v>Official HTML §9 Systems, §10 Subsystems, §11 Deployments, §13 Procedures, §14 SamplingFeatures, §15 Properties</x:v>
      </x:c>
      <x:c r="G4" s="291" t="str">
        <x:v>https://docs.ogc.org/is/23-001/23-001.html</x:v>
      </x:c>
    </x:row>
    <x:row r="5" ht="72" customHeight="1">
      <x:c r="A5" s="291" t="str">
        <x:v>Foundation v1.0 / S04</x:v>
      </x:c>
      <x:c r="B5" s="291" t="str">
        <x:v>OGC, API—Connected Systems Part 2: Dynamic Data</x:v>
      </x:c>
      <x:c r="C5" s="291" t="str">
        <x:v>S04</x:v>
      </x:c>
      <x:c r="D5" s="291" t="str">
        <x:v>Same exact source — original global ID</x:v>
      </x:c>
      <x:c r="E5" s="291" t="str">
        <x:v>14 Oct 2026</x:v>
      </x:c>
      <x:c r="F5" s="291" t="str">
        <x:v>Official HTML §§9–11 DataStream/Observation, ControlStream/Command, SystemEvent; resultSchema &amp; links</x:v>
      </x:c>
      <x:c r="G5" s="291" t="str">
        <x:v>https://docs.ogc.org/is/23-002/23-002.html</x:v>
      </x:c>
    </x:row>
    <x:row r="6" ht="72" customHeight="1">
      <x:c r="A6" s="291" t="str">
        <x:v>Foundation v1.0 / S05</x:v>
      </x:c>
      <x:c r="B6" s="291" t="str">
        <x:v>OGC, SensorML 3.0 Encoding Standard</x:v>
      </x:c>
      <x:c r="C6" s="291" t="str">
        <x:v>S01</x:v>
      </x:c>
      <x:c r="D6" s="291" t="str">
        <x:v>Same exact source — original global ID</x:v>
      </x:c>
      <x:c r="E6" s="291" t="str">
        <x:v>14 Oct 2026</x:v>
      </x:c>
      <x:c r="F6" s="291" t="str">
        <x:v>Official HTML: §8 process core, typeOf requirement, components, capabilities, settings, history, deployment</x:v>
      </x:c>
      <x:c r="G6" s="291" t="str">
        <x:v>https://docs.ogc.org/is/23-000/23-000.html</x:v>
      </x:c>
    </x:row>
    <x:row r="7" ht="72" customHeight="1">
      <x:c r="A7" s="291" t="str">
        <x:v>Foundation v1.0 / S06</x:v>
      </x:c>
      <x:c r="B7" s="291" t="str">
        <x:v>OGC, SWE Common Data Model Encoding Standard</x:v>
      </x:c>
      <x:c r="C7" s="291" t="str">
        <x:v>S02</x:v>
      </x:c>
      <x:c r="D7" s="291" t="str">
        <x:v>Same exact source — original global ID</x:v>
      </x:c>
      <x:c r="E7" s="291" t="str">
        <x:v>14 Oct 2026</x:v>
      </x:c>
      <x:c r="F7" s="291" t="str">
        <x:v>Official HTML: quantity definition, uom, DataRecord, range/quality, JSON encoding</x:v>
      </x:c>
      <x:c r="G7" s="291" t="str">
        <x:v>https://docs.ogc.org/is/24-014/24-014.html</x:v>
      </x:c>
    </x:row>
    <x:row r="8" ht="72" customHeight="1">
      <x:c r="A8" s="291" t="str">
        <x:v>Foundation v1.0 / S07</x:v>
      </x:c>
      <x:c r="B8" s="291" t="str">
        <x:v>OGC, Abstract Specification Topic 20—Observations, Measurements and Samples</x:v>
      </x:c>
      <x:c r="C8" s="291" t="str">
        <x:v>S97</x:v>
      </x:c>
      <x:c r="D8" s="291" t="str">
        <x:v>Unique new source / artifact</x:v>
      </x:c>
      <x:c r="E8" s="291" t="str">
        <x:v>14 Oct 2026</x:v>
      </x:c>
      <x:c r="F8" s="291" t="str">
        <x:v>Publisher official record + indexed section structure §§8–11, esp. §10.5. Full normative HTML not retrievable due ~12.25MB parser limit; PDF access unavailable.</x:v>
      </x:c>
      <x:c r="G8" s="291" t="str">
        <x:v>https://docs.ogc.org/as/20-082r4/20-082r4.html</x:v>
      </x:c>
    </x:row>
    <x:row r="9" ht="72" customHeight="1">
      <x:c r="A9" s="291" t="str">
        <x:v>Foundation v1.0 / S08</x:v>
      </x:c>
      <x:c r="B9" s="291" t="str">
        <x:v>Schleidt, ed., Observation and Sampling of a Smiley Face: OMS 101</x:v>
      </x:c>
      <x:c r="C9" s="291" t="str">
        <x:v>S98</x:v>
      </x:c>
      <x:c r="D9" s="291" t="str">
        <x:v>Unique new source / artifact</x:v>
      </x:c>
      <x:c r="E9" s="291" t="str">
        <x:v>14 Oct 2026</x:v>
      </x:c>
      <x:c r="F9" s="291" t="str">
        <x:v>User-supplied full 26-page official PDF read locally; especially pp. 8–17 and 19–22</x:v>
      </x:c>
      <x:c r="G9" s="291" t="str">
        <x:v>https://www.opengis.net/doc/techpaper/oms-smileyface</x:v>
      </x:c>
    </x:row>
    <x:row r="10" ht="72" customHeight="1">
      <x:c r="A10" s="291" t="str">
        <x:v>Foundation v1.0 / S09</x:v>
      </x:c>
      <x:c r="B10" s="291" t="str">
        <x:v>Magagna et al., I-ADOPT WG Outputs and Recommendations</x:v>
      </x:c>
      <x:c r="C10" s="291" t="str">
        <x:v>S100</x:v>
      </x:c>
      <x:c r="D10" s="291" t="str">
        <x:v>Unique new source / artifact</x:v>
      </x:c>
      <x:c r="E10" s="291" t="str">
        <x:v>14 Oct 2026</x:v>
      </x:c>
      <x:c r="F10" s="291" t="str">
        <x:v>Publisher DOI and bibliographic reference verified from official I-ADOPT documentation and package; complete recommendations PDF not independently retrieved</x:v>
      </x:c>
      <x:c r="G10" s="291" t="str">
        <x:v>https://doi.org/10.15497/RDA00071</x:v>
      </x:c>
    </x:row>
    <x:row r="11" ht="72" customHeight="1">
      <x:c r="A11" s="291" t="str">
        <x:v>Foundation v1.0 / S10</x:v>
      </x:c>
      <x:c r="B11" s="291" t="str">
        <x:v>I-ADOPT Framework Ontology Specification</x:v>
      </x:c>
      <x:c r="C11" s="291" t="str">
        <x:v>S101</x:v>
      </x:c>
      <x:c r="D11" s="291" t="str">
        <x:v>Unique new source / artifact</x:v>
      </x:c>
      <x:c r="E11" s="291" t="str">
        <x:v>14 Oct 2026</x:v>
      </x:c>
      <x:c r="F11" s="291" t="str">
        <x:v>Official versioned HTML class/property definitions; 2025 release changes; linked fixed 2025 Turtle</x:v>
      </x:c>
      <x:c r="G11" s="291" t="str">
        <x:v>https://i-adopt.github.io/ontology/</x:v>
      </x:c>
    </x:row>
    <x:row r="12" ht="72" customHeight="1">
      <x:c r="A12" s="291" t="str">
        <x:v>Foundation v1.0 / S11</x:v>
      </x:c>
      <x:c r="B12" s="291" t="str">
        <x:v>I-ADOPT ontology Turtle pinned content</x:v>
      </x:c>
      <x:c r="C12" s="291" t="str">
        <x:v>S102</x:v>
      </x:c>
      <x:c r="D12" s="291" t="str">
        <x:v>Unique new source / artifact</x:v>
      </x:c>
      <x:c r="E12" s="291" t="str">
        <x:v>14 Oct 2026</x:v>
      </x:c>
      <x:c r="F12" s="291" t="str">
        <x:v>Inspected official GitHub snapshot referenced by publisher specification; versioned file</x:v>
      </x:c>
      <x:c r="G12" s="291" t="str">
        <x:v>https://github.com/i-adopt/ontology/blob/604a560a5826d4c9102060a85eca00b15dc30ef9/ontology/i-adopt_1_1_0.ttl</x:v>
      </x:c>
    </x:row>
    <x:row r="13" ht="72" customHeight="1">
      <x:c r="A13" s="291" t="str">
        <x:v>Foundation v1.0 / S12</x:v>
      </x:c>
      <x:c r="B13" s="291" t="str">
        <x:v>I-ADOPT project, OMS observedProperty extension roadmap</x:v>
      </x:c>
      <x:c r="C13" s="291" t="str">
        <x:v>S107</x:v>
      </x:c>
      <x:c r="D13" s="291" t="str">
        <x:v>Unique new source / artifact</x:v>
      </x:c>
      <x:c r="E13" s="291" t="str">
        <x:v>14 Oct 2026</x:v>
      </x:c>
      <x:c r="F13" s="291" t="str">
        <x:v>Publisher URL attempted; unavailable at audit. Roadmap described in project verified input.</x:v>
      </x:c>
      <x:c r="G13" s="291" t="str">
        <x:v>https://i-adopt.github.io/overview.html</x:v>
      </x:c>
    </x:row>
    <x:row r="14" ht="72" customHeight="1">
      <x:c r="A14" s="291" t="str">
        <x:v>Foundation v1.0 / S13</x:v>
      </x:c>
      <x:c r="B14" s="291" t="str">
        <x:v>QUDT Project, QUDT Catalog</x:v>
      </x:c>
      <x:c r="C14" s="291" t="str">
        <x:v>S104</x:v>
      </x:c>
      <x:c r="D14" s="291" t="str">
        <x:v>Unique new source / artifact</x:v>
      </x:c>
      <x:c r="E14" s="291" t="str">
        <x:v>14 Oct 2026</x:v>
      </x:c>
      <x:c r="F14" s="291" t="str">
        <x:v>Official catalog and example quantitykind:Voltage resource; no full ontology closure evaluation</x:v>
      </x:c>
      <x:c r="G14" s="291" t="str">
        <x:v>https://www.qudt.org/catalog/qudt-catalog.html</x:v>
      </x:c>
    </x:row>
    <x:row r="15" ht="72" customHeight="1">
      <x:c r="A15" s="291" t="str">
        <x:v>Foundation v1.0 / S14</x:v>
      </x:c>
      <x:c r="B15" s="291" t="str">
        <x:v>QUDT quantity kind Voltage</x:v>
      </x:c>
      <x:c r="C15" s="291" t="str">
        <x:v>S15</x:v>
      </x:c>
      <x:c r="D15" s="291" t="str">
        <x:v>Same exact source — original global ID</x:v>
      </x:c>
      <x:c r="E15" s="291" t="str">
        <x:v>14 Oct 2026</x:v>
      </x:c>
      <x:c r="F15" s="291" t="str">
        <x:v>Publisher term viewed</x:v>
      </x:c>
      <x:c r="G15" s="291" t="str">
        <x:v>http://qudt.org/vocab/quantitykind/Voltage</x:v>
      </x:c>
    </x:row>
    <x:row r="16" ht="72" customHeight="1">
      <x:c r="A16" s="291" t="str">
        <x:v>Foundation v1.0 / S15</x:v>
      </x:c>
      <x:c r="B16" s="291" t="str">
        <x:v>Schadow and McDonald, Unified Code for Units of Measure</x:v>
      </x:c>
      <x:c r="C16" s="291" t="str">
        <x:v>S14</x:v>
      </x:c>
      <x:c r="D16" s="291" t="str">
        <x:v>Same exact source — original global ID</x:v>
      </x:c>
      <x:c r="E16" s="291" t="str">
        <x:v>14 Oct 2026</x:v>
      </x:c>
      <x:c r="F16" s="291" t="str">
        <x:v>Official UCUM specification and legal/license page directly inspected</x:v>
      </x:c>
      <x:c r="G16" s="291" t="str">
        <x:v>https://ucum.org/ucum</x:v>
      </x:c>
    </x:row>
    <x:row r="17" ht="72" customHeight="1">
      <x:c r="A17" s="291" t="str">
        <x:v>Foundation v1.0 / S16</x:v>
      </x:c>
      <x:c r="B17" s="291" t="str">
        <x:v>UCUM copyright and license</x:v>
      </x:c>
      <x:c r="C17" s="291" t="str">
        <x:v>S70</x:v>
      </x:c>
      <x:c r="D17" s="291" t="str">
        <x:v>Unique new source / artifact</x:v>
      </x:c>
      <x:c r="E17" s="291" t="str">
        <x:v>14 Oct 2026</x:v>
      </x:c>
      <x:c r="F17" s="291" t="str">
        <x:v>Publisher terms read</x:v>
      </x:c>
      <x:c r="G17" s="291" t="str">
        <x:v>https://ucum.org/license</x:v>
      </x:c>
    </x:row>
    <x:row r="18" ht="72" customHeight="1">
      <x:c r="A18" s="291" t="str">
        <x:v>Foundation v1.0 / S17</x:v>
      </x:c>
      <x:c r="B18" s="291" t="str">
        <x:v>ESIP SWEET ontology repository</x:v>
      </x:c>
      <x:c r="C18" s="291" t="str">
        <x:v>S105</x:v>
      </x:c>
      <x:c r="D18" s="291" t="str">
        <x:v>Unique new source / artifact</x:v>
      </x:c>
      <x:c r="E18" s="291" t="str">
        <x:v>14 Oct 2026</x:v>
      </x:c>
      <x:c r="F18" s="291" t="str">
        <x:v>Official GitHub README and named module matrInstrument.ttl inspected; no pinned commit captured</x:v>
      </x:c>
      <x:c r="G18" s="291" t="str">
        <x:v>https://github.com/ESIPFed/sweet</x:v>
      </x:c>
    </x:row>
    <x:row r="19" ht="72" customHeight="1">
      <x:c r="A19" s="291" t="str">
        <x:v>Foundation v1.0 / S18</x:v>
      </x:c>
      <x:c r="B19" s="291" t="str">
        <x:v>ESIP SWEET matrInstrument.ttl module</x:v>
      </x:c>
      <x:c r="C19" s="291" t="str">
        <x:v>S106</x:v>
      </x:c>
      <x:c r="D19" s="291" t="str">
        <x:v>Unique new source / artifact</x:v>
      </x:c>
      <x:c r="E19" s="291" t="str">
        <x:v>14 Oct 2026</x:v>
      </x:c>
      <x:c r="F19" s="291" t="str">
        <x:v>Viewed class definitions for Instrument, Sensor, Anemometer, subClassOf sosa:Sensor</x:v>
      </x:c>
      <x:c r="G19" s="291" t="str">
        <x:v>https://github.com/ESIPFed/sweet/blob/master/src/matrInstrument.ttl</x:v>
      </x:c>
    </x:row>
    <x:row r="20" ht="72" customHeight="1">
      <x:c r="A20" s="291" t="str">
        <x:v>Foundation v1.0 / S19</x:v>
      </x:c>
      <x:c r="B20" s="291" t="str">
        <x:v>MERLIN, Managed Physical Sensing Systems &amp; Deployments main profile</x:v>
      </x:c>
      <x:c r="C20" s="291" t="str">
        <x:v>Project Recovery P21</x:v>
      </x:c>
      <x:c r="D20" s="291" t="str">
        <x:v>Project recovery, not external bibliography</x:v>
      </x:c>
      <x:c r="E20" s="291" t="str">
        <x:v>14 Oct 2026</x:v>
      </x:c>
      <x:c r="F20" s="291" t="str">
        <x:v>Read §§1–5.14, 20 R binding entries, catalogue and status/implementation meaning</x:v>
      </x:c>
      <x:c r="G20" s="291" t="str">
        <x:v>Internal package: 02_MAIN_PROFILE_AUTHORITATIVE_PROJECT_BASELINE</x:v>
      </x:c>
    </x:row>
    <x:row r="21" ht="72" customHeight="1">
      <x:c r="A21" s="291" t="str">
        <x:v>Foundation v1.0 / S20</x:v>
      </x:c>
      <x:c r="B21" s="291" t="str">
        <x:v>MERLIN, Foundational Semantics PITON</x:v>
      </x:c>
      <x:c r="C21" s="291" t="str">
        <x:v>Project Recovery P28</x:v>
      </x:c>
      <x:c r="D21" s="291" t="str">
        <x:v>Project recovery, not external bibliography</x:v>
      </x:c>
      <x:c r="E21" s="291" t="str">
        <x:v>14 Oct 2026</x:v>
      </x:c>
      <x:c r="F21" s="291" t="str">
        <x:v>Read full PITON §§1–14, acceptance tests and stop rules</x:v>
      </x:c>
      <x:c r="G21" s="291" t="str">
        <x:v>Internal package: 01_MISSION_PITON</x:v>
      </x:c>
    </x:row>
    <x:row r="22" ht="72" customHeight="1">
      <x:c r="A22" s="291" t="str">
        <x:v>Foundation v1.0 / S21</x:v>
      </x:c>
      <x:c r="B22" s="291" t="str">
        <x:v>MERLIN, Power/ISA/IEEE sibling research</x:v>
      </x:c>
      <x:c r="C22" s="291" t="str">
        <x:v>Project Recovery P23–P25</x:v>
      </x:c>
      <x:c r="D22" s="291" t="str">
        <x:v>Project recovery, not external bibliography</x:v>
      </x:c>
      <x:c r="E22" s="291" t="str">
        <x:v>14 Oct 2026</x:v>
      </x:c>
      <x:c r="F22" s="291" t="str">
        <x:v>Reviewed read-only conclusions and source gates via source note / reports</x:v>
      </x:c>
      <x:c r="G22" s="291" t="str">
        <x:v>Internal package: 03_COMPLETED_SIBLING_RESEARCH_READ_ONLY</x:v>
      </x:c>
    </x:row>
    <x:row r="23" ht="72" customHeight="1">
      <x:c r="A23" s="291" t="str">
        <x:v>Foundation v1.0 / S22</x:v>
      </x:c>
      <x:c r="B23" s="291" t="str">
        <x:v>QUDT quantity kind Concentration</x:v>
      </x:c>
      <x:c r="C23" s="291" t="str">
        <x:v>S109</x:v>
      </x:c>
      <x:c r="D23" s="291" t="str">
        <x:v>Unique new source / artifact</x:v>
      </x:c>
      <x:c r="E23" s="291" t="str">
        <x:v>14 Oct 2026</x:v>
      </x:c>
      <x:c r="F23" s="291" t="str">
        <x:v>Official term page read directly; broad concentration definition includes mass, molar, number and volume</x:v>
      </x:c>
      <x:c r="G23" s="291" t="str">
        <x:v>http://qudt.org/vocab/quantitykind/Concentration</x:v>
      </x:c>
    </x:row>
    <x:row r="24" ht="120" customHeight="1">
      <x:c r="A24" s="297" t="str">
        <x:v>OMS v1.0 / OMS3-2023</x:v>
      </x:c>
      <x:c r="B24" s="297" t="str">
        <x:v>OGC 20-082r4, Observations, Measurements and Samples v3.0.0</x:v>
      </x:c>
      <x:c r="C24" s="297" t="str">
        <x:v>S97</x:v>
      </x:c>
      <x:c r="D24" s="297" t="str">
        <x:v>Existing publication / no duplicate</x:v>
      </x:c>
      <x:c r="E24" s="297" t="str">
        <x:v>15 Oct 2026</x:v>
      </x:c>
      <x:c r="F24" s="297" t="str">
        <x:v>FULL PRIMARY PDF; §§4–13, appendix A targeted</x:v>
      </x:c>
      <x:c r="G24" s="297" t="str">
        <x:v>https://docs.ogc.org/as/20-082r4/20-082r4.html</x:v>
      </x:c>
    </x:row>
    <x:row r="25" ht="120" customHeight="1">
      <x:c r="A25" s="297" t="str">
        <x:v>OMS v1.0 / OMS-TEACH</x:v>
      </x:c>
      <x:c r="B25" s="297" t="str">
        <x:v>Observation and Sampling of a Smiley Face, OGC 25-038 (2026)</x:v>
      </x:c>
      <x:c r="C25" s="297" t="str">
        <x:v>S98</x:v>
      </x:c>
      <x:c r="D25" s="297" t="str">
        <x:v>Existing publication / no duplicate</x:v>
      </x:c>
      <x:c r="E25" s="297" t="str">
        <x:v>15 Oct 2026</x:v>
      </x:c>
      <x:c r="F25" s="297" t="str">
        <x:v>p.1 and p.14 + sibling full-paper review</x:v>
      </x:c>
      <x:c r="G25" s="297" t="str">
        <x:v>https://www.opengis.net/doc/techpaper/oms-smileyface</x:v>
      </x:c>
    </x:row>
    <x:row r="26" ht="120" customHeight="1">
      <x:c r="A26" s="297" t="str">
        <x:v>OMS v1.0 / CSAPI-1</x:v>
      </x:c>
      <x:c r="B26" s="297" t="str">
        <x:v>OGC API – Connected Systems Part 1, OGC 23-001 (2025)</x:v>
      </x:c>
      <x:c r="C26" s="297" t="str">
        <x:v>S03</x:v>
      </x:c>
      <x:c r="D26" s="297" t="str">
        <x:v>Existing publication / no duplicate</x:v>
      </x:c>
      <x:c r="E26" s="297" t="str">
        <x:v>15 Oct 2026</x:v>
      </x:c>
      <x:c r="F26" s="297" t="str">
        <x:v>OFFICIAL SELECTED NORMATIVE §§9–14</x:v>
      </x:c>
      <x:c r="G26" s="297" t="str">
        <x:v>https://docs.ogc.org/is/23-001/23-001.html</x:v>
      </x:c>
    </x:row>
    <x:row r="27" ht="120" customHeight="1">
      <x:c r="A27" s="297" t="str">
        <x:v>OMS v1.0 / CSAPI-2</x:v>
      </x:c>
      <x:c r="B27" s="297" t="str">
        <x:v>OGC API – Connected Systems Part 2, OGC 23-002 (2025)</x:v>
      </x:c>
      <x:c r="C27" s="297" t="str">
        <x:v>S04</x:v>
      </x:c>
      <x:c r="D27" s="297" t="str">
        <x:v>Existing publication / no duplicate</x:v>
      </x:c>
      <x:c r="E27" s="297" t="str">
        <x:v>15 Oct 2026</x:v>
      </x:c>
      <x:c r="F27" s="297" t="str">
        <x:v>OFFICIAL SELECTED NORMATIVE §§7–12,16</x:v>
      </x:c>
      <x:c r="G27" s="297" t="str">
        <x:v>https://docs.ogc.org/is/23-002/23-002.html</x:v>
      </x:c>
    </x:row>
    <x:row r="28" ht="120" customHeight="1">
      <x:c r="A28" s="297" t="str">
        <x:v>OMS v1.0 / SENSORML</x:v>
      </x:c>
      <x:c r="B28" s="297" t="str">
        <x:v>OGC SensorML Encoding, OGC 23-000 v3.0 (2025)</x:v>
      </x:c>
      <x:c r="C28" s="297" t="str">
        <x:v>S01</x:v>
      </x:c>
      <x:c r="D28" s="297" t="str">
        <x:v>Existing publication / no duplicate</x:v>
      </x:c>
      <x:c r="E28" s="297" t="str">
        <x:v>15 Oct 2026</x:v>
      </x:c>
      <x:c r="F28" s="297" t="str">
        <x:v>OFFICIAL SELECTED NORMATIVE §§8.2,8.8–8.9</x:v>
      </x:c>
      <x:c r="G28" s="297" t="str">
        <x:v>https://docs.ogc.org/is/23-000/23-000.html</x:v>
      </x:c>
    </x:row>
    <x:row r="29" ht="120" customHeight="1">
      <x:c r="A29" s="297" t="str">
        <x:v>OMS v1.0 / SWE</x:v>
      </x:c>
      <x:c r="B29" s="297" t="str">
        <x:v>OGC SWE Common Data Model Encoding, OGC 24-014 v3.0 (2025)</x:v>
      </x:c>
      <x:c r="C29" s="297" t="str">
        <x:v>S02</x:v>
      </x:c>
      <x:c r="D29" s="297" t="str">
        <x:v>Existing publication / no duplicate</x:v>
      </x:c>
      <x:c r="E29" s="297" t="str">
        <x:v>15 Oct 2026</x:v>
      </x:c>
      <x:c r="F29" s="297" t="str">
        <x:v>OFFICIAL SELECTED §§8.2–8.3,9</x:v>
      </x:c>
      <x:c r="G29" s="297" t="str">
        <x:v>https://docs.ogc.org/is/24-014/24-014.html</x:v>
      </x:c>
    </x:row>
    <x:row r="30" ht="120" customHeight="1">
      <x:c r="A30" s="297" t="str">
        <x:v>OMS v1.0 / MERLIN-MPSS</x:v>
      </x:c>
      <x:c r="B30" s="297" t="str">
        <x:v>MPSS Profile v0.3.1 (14 OCT 2026)</x:v>
      </x:c>
      <x:c r="C30" s="297" t="str">
        <x:v>internal</x:v>
      </x:c>
      <x:c r="D30" s="297" t="str">
        <x:v>Existing publication / no duplicate</x:v>
      </x:c>
      <x:c r="E30" s="297" t="str">
        <x:v>15 Oct 2026</x:v>
      </x:c>
      <x:c r="F30" s="297" t="str">
        <x:v>§§4,5.3–5.14, R01–R20</x:v>
      </x:c>
      <x:c r="G30" s="297" t="str">
        <x:v>Read-only packet /02_MAIN_PROFILE_READ_ONLY</x:v>
      </x:c>
    </x:row>
    <x:row r="31" ht="120" customHeight="1">
      <x:c r="A31" s="297" t="str">
        <x:v>OMS v1.0 / FOUND-1</x:v>
      </x:c>
      <x:c r="B31" s="297" t="str">
        <x:v>Foundational Semantics Assessment v1.0 (14 OCT 2026)</x:v>
      </x:c>
      <x:c r="C31" s="297" t="str">
        <x:v>internal</x:v>
      </x:c>
      <x:c r="D31" s="297" t="str">
        <x:v>Existing publication / no duplicate</x:v>
      </x:c>
      <x:c r="E31" s="297" t="str">
        <x:v>15 Oct 2026</x:v>
      </x:c>
      <x:c r="F31" s="297" t="str">
        <x:v>Relevant OMS and R20 prior notes</x:v>
      </x:c>
      <x:c r="G31" s="297" t="str">
        <x:v>Read-only packet /04_COMPLETED_COMPARISONS_READ_ONLY</x:v>
      </x:c>
    </x:row>
    <x:row r="32" ht="120" customHeight="1">
      <x:c r="A32" s="297" t="str">
        <x:v>OMS v1.0 / SSN-2026-WD</x:v>
      </x:c>
      <x:c r="B32" s="297" t="str">
        <x:v>SOSA/SSN W3C Working Draft (12 OCT 2026)</x:v>
      </x:c>
      <x:c r="C32" s="297" t="str">
        <x:v>S99</x:v>
      </x:c>
      <x:c r="D32" s="297" t="str">
        <x:v>Existing publication / no duplicate</x:v>
      </x:c>
      <x:c r="E32" s="297" t="str">
        <x:v>15 Oct 2026</x:v>
      </x:c>
      <x:c r="F32" s="297" t="str">
        <x:v>PRIOR WORK; not newly re-audited</x:v>
      </x:c>
      <x:c r="G32" s="297" t="str">
        <x:v>https://www.w3.org/TR/2026/WD-vocab-ssn-2023-20261012/</x:v>
      </x:c>
    </x:row>
    <x:row r="33" ht="120" customHeight="1">
      <x:c r="A33" s="297" t="str">
        <x:v>OMS v1.0 / IADOPT-1</x:v>
      </x:c>
      <x:c r="B33" s="297" t="str">
        <x:v>I-ADOPT ontology 1.1.0 (2025)</x:v>
      </x:c>
      <x:c r="C33" s="297" t="str">
        <x:v>S101</x:v>
      </x:c>
      <x:c r="D33" s="297" t="str">
        <x:v>Existing publication / no duplicate</x:v>
      </x:c>
      <x:c r="E33" s="297" t="str">
        <x:v>15 Oct 2026</x:v>
      </x:c>
      <x:c r="F33" s="297" t="str">
        <x:v>PRIOR WORK; not newly re-audited</x:v>
      </x:c>
      <x:c r="G33" s="297" t="str">
        <x:v>https://i-adopt.github.io/ontology/</x:v>
      </x:c>
    </x:row>
    <x:row r="34" ht="120" customHeight="1">
      <x:c r="A34" s="297" t="str">
        <x:v>SAPIENT proposed S110</x:v>
      </x:c>
      <x:c r="B34" s="297" t="str">
        <x:v>SAPIENT Network of Autonomous Sensors and Effectors—Interface Control Document—Specification</x:v>
      </x:c>
      <x:c r="C34" s="297" t="str">
        <x:v>S110</x:v>
      </x:c>
      <x:c r="D34" s="297" t="str">
        <x:v>New distinct edition/artifact; added in v0.9</x:v>
      </x:c>
      <x:c r="E34" s="297" t="str">
        <x:v>17 Oct 2026</x:v>
      </x:c>
      <x:c r="F34" s="297" t="str">
        <x:v>Full primary specification reviewed in completed SAPIENT study; this consolidation inherits that inspected evidence.</x:v>
      </x:c>
      <x:c r="G34" s="297" t="str">
        <x:v>https://www.bsigroup.com/siteassets/pdf/en/insights-and-media/insights/brochures/bsi-flex-335.pdf</x:v>
      </x:c>
    </x:row>
    <x:row r="35" ht="120" customHeight="1">
      <x:c r="A35" s="297" t="str">
        <x:v>SAPIENT proposed S111</x:v>
      </x:c>
      <x:c r="B35" s="297" t="str">
        <x:v>SAPIENT-Proto-Files: bsi_flex_335_v2_0</x:v>
      </x:c>
      <x:c r="C35" s="297" t="str">
        <x:v>S111</x:v>
      </x:c>
      <x:c r="D35" s="297" t="str">
        <x:v>New distinct edition/artifact; added in v0.9</x:v>
      </x:c>
      <x:c r="E35" s="297" t="str">
        <x:v>17 Oct 2026</x:v>
      </x:c>
      <x:c r="F35" s="297" t="str">
        <x:v>Primary implementation schema inspected in completed study; commit and blob register retained.</x:v>
      </x:c>
      <x:c r="G35" s="297" t="str">
        <x:v>https://github.com/dstl/SAPIENT-Proto-Files/tree/244a741c13bcee628f84944aef91e4a66854bd7d/bsi_flex_335_v2_0</x:v>
      </x:c>
    </x:row>
    <x:row r="36" ht="120" customHeight="1">
      <x:c r="A36" s="297" t="str">
        <x:v>SAPIENT proposed S112</x:v>
      </x:c>
      <x:c r="B36" s="297" t="str">
        <x:v>BSI-Flex-335-v2-Test-Harness</x:v>
      </x:c>
      <x:c r="C36" s="297" t="str">
        <x:v>S112</x:v>
      </x:c>
      <x:c r="D36" s="297" t="str">
        <x:v>New distinct edition/artifact; added in v0.9</x:v>
      </x:c>
      <x:c r="E36" s="297" t="str">
        <x:v>17 Oct 2026</x:v>
      </x:c>
      <x:c r="F36" s="297" t="str">
        <x:v>Developer documentation inspected; tool not run.</x:v>
      </x:c>
      <x:c r="G36" s="297" t="str">
        <x:v>https://github.com/dstl/BSI-Flex-335-v2-Test-Harness/tree/6a2999d70d761d224914ddd8fa3f663af5005be0</x:v>
      </x:c>
    </x:row>
    <x:row r="37" ht="120" customHeight="1">
      <x:c r="A37" s="297" t="str">
        <x:v>SAPIENT proposed S113</x:v>
      </x:c>
      <x:c r="B37" s="297" t="str">
        <x:v>Apex-SAPIENT-Middleware</x:v>
      </x:c>
      <x:c r="C37" s="297" t="str">
        <x:v>S113</x:v>
      </x:c>
      <x:c r="D37" s="297" t="str">
        <x:v>New distinct edition/artifact; added in v0.9</x:v>
      </x:c>
      <x:c r="E37" s="297" t="str">
        <x:v>17 Oct 2026</x:v>
      </x:c>
      <x:c r="F37" s="297" t="str">
        <x:v>Implementation documentation and selected server source inspected; not run.</x:v>
      </x:c>
      <x:c r="G37" s="297" t="str">
        <x:v>https://github.com/dstl/Apex-SAPIENT-Middleware/tree/0c8591ae97f2dc336eff299845880d5c73ee75b7</x:v>
      </x:c>
    </x:row>
    <x:row r="38" ht="120" customHeight="1">
      <x:c r="A38" s="297" t="str">
        <x:v>Consolidation / S114</x:v>
      </x:c>
      <x:c r="B38" s="297" t="str">
        <x:v>Technical Standard for SOSA Reference Architecture, Edition 1.1</x:v>
      </x:c>
      <x:c r="C38" s="297" t="str">
        <x:v>S114</x:v>
      </x:c>
      <x:c r="D38" s="297" t="str">
        <x:v>New distinct edition/artifact; added in v0.9</x:v>
      </x:c>
      <x:c r="E38" s="297" t="str">
        <x:v>17 Oct 2026</x:v>
      </x:c>
      <x:c r="F38" s="297" t="str">
        <x:v>Full publisher PDF reviewed in completed SOSA study; inherited clause evidence.</x:v>
      </x:c>
      <x:c r="G38" s="297" t="str">
        <x:v>https://publications.opengroup.org/c239</x:v>
      </x:c>
    </x:row>
    <x:row r="39" ht="120" customHeight="1">
      <x:c r="A39" s="297" t="str">
        <x:v>Consolidation / S115</x:v>
      </x:c>
      <x:c r="B39" s="297" t="str">
        <x:v>SOSA Domain-Specific Data Model, Edition 1.0, and IDL companion</x:v>
      </x:c>
      <x:c r="C39" s="297" t="str">
        <x:v>S115</x:v>
      </x:c>
      <x:c r="D39" s="297" t="str">
        <x:v>New distinct edition/artifact; added in v0.9</x:v>
      </x:c>
      <x:c r="E39" s="297" t="str">
        <x:v>17 Oct 2026</x:v>
      </x:c>
      <x:c r="F39" s="297" t="str">
        <x:v>152-page PDF and 227 IDL files reviewed in SOSA study; inherited evidence.</x:v>
      </x:c>
      <x:c r="G39" s="297" t="str">
        <x:v>https://publications.opengroup.org/c239</x:v>
      </x:c>
    </x:row>
    <x:row r="40" ht="120" customHeight="1">
      <x:c r="A40" s="297" t="str">
        <x:v>Consolidation / S116</x:v>
      </x:c>
      <x:c r="B40" s="297" t="str">
        <x:v>SOSA in-band management OpenAPI definitions</x:v>
      </x:c>
      <x:c r="C40" s="297" t="str">
        <x:v>S116</x:v>
      </x:c>
      <x:c r="D40" s="297" t="str">
        <x:v>New distinct edition/artifact; added in v0.9</x:v>
      </x:c>
      <x:c r="E40" s="297" t="str">
        <x:v>17 Oct 2026</x:v>
      </x:c>
      <x:c r="F40" s="297" t="str">
        <x:v>Six JSON API documents parsed and compared by SOSA study; no endpoint executed.</x:v>
      </x:c>
      <x:c r="G40" s="297" t="str">
        <x:v>https://publications.opengroup.org/c239</x:v>
      </x:c>
    </x:row>
    <x:row r="41" ht="120" customHeight="1">
      <x:c r="A41" s="297" t="str">
        <x:v>Consolidation / S117</x:v>
      </x:c>
      <x:c r="B41" s="297" t="str">
        <x:v>Technical Standard for SOSA Reference Architecture, Edition 2.0 (Snapshot 3)</x:v>
      </x:c>
      <x:c r="C41" s="297" t="str">
        <x:v>S117</x:v>
      </x:c>
      <x:c r="D41" s="297" t="str">
        <x:v>New distinct edition/artifact; added in v0.9</x:v>
      </x:c>
      <x:c r="E41" s="297" t="str">
        <x:v>17 Oct 2026</x:v>
      </x:c>
      <x:c r="F41" s="297" t="str">
        <x:v>Publisher snapshot and companion inventory reviewed in SOSA study; developmental evidence.</x:v>
      </x:c>
      <x:c r="G41" s="297" t="str">
        <x:v>https://publications.opengroup.org/standards/s251</x:v>
      </x:c>
    </x:row>
    <x:row r="42" ht="120" customHeight="1">
      <x:c r="A42" s="297" t="str">
        <x:v>Consolidation / S118</x:v>
      </x:c>
      <x:c r="B42" s="297" t="str">
        <x:v>Standardization Decisions for a Modular Open Systems Approach (MOSA)</x:v>
      </x:c>
      <x:c r="C42" s="297" t="str">
        <x:v>S118</x:v>
      </x:c>
      <x:c r="D42" s="297" t="str">
        <x:v>New distinct edition/artifact; added in v0.9</x:v>
      </x:c>
      <x:c r="E42" s="297" t="str">
        <x:v>17 Oct 2026</x:v>
      </x:c>
      <x:c r="F42" s="297" t="str">
        <x:v>Official catalog metadata; full guidance not inspected in completed SOSA study.</x:v>
      </x:c>
      <x:c r="G42" s="297" t="str">
        <x:v>https://quicksearch.dla.mil/qsDocDetails.aspx?ident_number=286891</x:v>
      </x:c>
    </x:row>
    <x:row r="43" ht="120" customHeight="1">
      <x:c r="A43" s="297" t="str">
        <x:v>Consolidation / S119</x:v>
      </x:c>
      <x:c r="B43" s="297" t="str">
        <x:v>Modular Open Systems Approach Portfolio: HOST, FACE, SOSA, UCS, and Open Mission Systems</x:v>
      </x:c>
      <x:c r="C43" s="297" t="str">
        <x:v>S119</x:v>
      </x:c>
      <x:c r="D43" s="297" t="str">
        <x:v>New distinct edition/artifact; added in v0.9</x:v>
      </x:c>
      <x:c r="E43" s="297" t="str">
        <x:v>17 Oct 2026</x:v>
      </x:c>
      <x:c r="F43" s="297" t="str">
        <x:v>Official notice metadata; no full notice review claimed.</x:v>
      </x:c>
      <x:c r="G43" s="297" t="str">
        <x:v>https://quicksearch.dla.mil/qsDocDetails.aspx?ident_number=284706</x:v>
      </x:c>
    </x:row>
    <x:row r="44" ht="120" customHeight="1">
      <x:c r="A44" s="297" t="str">
        <x:v>Consolidation / S120</x:v>
      </x:c>
      <x:c r="B44" s="297" t="str">
        <x:v>United States Code, title 10, §§4401–4403</x:v>
      </x:c>
      <x:c r="C44" s="297" t="str">
        <x:v>S120</x:v>
      </x:c>
      <x:c r="D44" s="297" t="str">
        <x:v>New distinct edition/artifact; added in v0.9</x:v>
      </x:c>
      <x:c r="E44" s="297" t="str">
        <x:v>17 Oct 2026</x:v>
      </x:c>
      <x:c r="F44" s="297" t="str">
        <x:v>Contextual source citation inherited from SOSA assessment; no fresh legal review.</x:v>
      </x:c>
      <x:c r="G44" s="297" t="str">
        <x:v>https://uscode.house.gov/view.xhtml?edition=prelim&amp;f=treesort&amp;req=(title:10%20section:4401%20edition:prelim)</x:v>
      </x:c>
    </x:row>
    <x:row r="45" ht="120" customHeight="1">
      <x:c r="A45" s="297" t="str">
        <x:v>Consolidation / S121</x:v>
      </x:c>
      <x:c r="B45" s="297" t="str">
        <x:v>CSAPI Part 1 v1.0 property-definition JSON schema subset</x:v>
      </x:c>
      <x:c r="C45" s="297" t="str">
        <x:v>S121</x:v>
      </x:c>
      <x:c r="D45" s="297" t="str">
        <x:v>New distinct edition/artifact; added in v0.9</x:v>
      </x:c>
      <x:c r="E45" s="297" t="str">
        <x:v>17 Oct 2026</x:v>
      </x:c>
      <x:c r="F45" s="297" t="str">
        <x:v>Selected public schemas inspected in approved increment; raw publisher bytes/dependency closure not fully recovered.</x:v>
      </x:c>
      <x:c r="G45" s="297" t="str">
        <x:v>https://schemas.opengis.net/ogcapi/connected-systems/part1/1.0/openapi/schemas/sensorml/property.json</x:v>
      </x:c>
    </x:row>
    <x:row r="46" ht="120" customHeight="1">
      <x:c r="A46" s="297" t="str">
        <x:v>Consolidation / S122</x:v>
      </x:c>
      <x:c r="B46" s="297" t="str">
        <x:v>CSAPI Part 2 v1.0 DataStream and Observation JSON schema subset</x:v>
      </x:c>
      <x:c r="C46" s="297" t="str">
        <x:v>S122</x:v>
      </x:c>
      <x:c r="D46" s="297" t="str">
        <x:v>New distinct edition/artifact; added in v0.9</x:v>
      </x:c>
      <x:c r="E46" s="297" t="str">
        <x:v>17 Oct 2026</x:v>
      </x:c>
      <x:c r="F46" s="297" t="str">
        <x:v>Selected public schemas inspected in approved increment; raw publisher bytes/dependency closure not fully recovered.</x:v>
      </x:c>
      <x:c r="G46" s="297" t="str">
        <x:v>https://schemas.opengis.net/ogcapi/connected-systems/part2/1.0/openapi/schemas/json/dataStream.json</x:v>
      </x:c>
    </x:row>
    <x:row r="47" ht="120" customHeight="1">
      <x:c r="A47" s="297" t="str">
        <x:v>Consolidation / S123</x:v>
      </x:c>
      <x:c r="B47" s="297" t="str">
        <x:v>SWE Common 3.0 Quantity and basic-types JSON schema subset</x:v>
      </x:c>
      <x:c r="C47" s="297" t="str">
        <x:v>S123</x:v>
      </x:c>
      <x:c r="D47" s="297" t="str">
        <x:v>New distinct edition/artifact; added in v0.9</x:v>
      </x:c>
      <x:c r="E47" s="297" t="str">
        <x:v>17 Oct 2026</x:v>
      </x:c>
      <x:c r="F47" s="297" t="str">
        <x:v>Selected public schemas inspected in approved increment; raw publisher bytes/dependency closure not fully recovered.</x:v>
      </x:c>
      <x:c r="G47" s="297" t="str">
        <x:v>https://schemas.opengis.net/sweCommon/3.0/json/Quantity.json</x:v>
      </x:c>
    </x:row>
    <x:row r="48" ht="120" customHeight="1">
      <x:c r="A48" s="297" t="str">
        <x:v>Consolidation / S124</x:v>
      </x:c>
      <x:c r="B48" s="297" t="str">
        <x:v>SAPIENT networked autonomous sensing</x:v>
      </x:c>
      <x:c r="C48" s="297" t="str">
        <x:v>S124</x:v>
      </x:c>
      <x:c r="D48" s="297" t="str">
        <x:v>New distinct edition/artifact; added in v0.9</x:v>
      </x:c>
      <x:c r="E48" s="297" t="str">
        <x:v>17 Oct 2026</x:v>
      </x:c>
      <x:c r="F48" s="297" t="str">
        <x:v>Official guidance version/date rechecked; technical claims remain grounded in BSI v2 study.</x:v>
      </x:c>
      <x:c r="G48" s="297" t="str">
        <x:v>https://www.gov.uk/guidance/sapient-autonomous-sensor-system</x:v>
      </x:c>
    </x:row>
    <x:row r="49" ht="120" customHeight="1">
      <x:c r="A49" s="297" t="str">
        <x:v>SOSA parent source candidate</x:v>
      </x:c>
      <x:c r="B49" s="297" t="str">
        <x:v>C239 plus named normative companions</x:v>
      </x:c>
      <x:c r="C49" s="297" t="str">
        <x:v>S114; S115; S116</x:v>
      </x:c>
      <x:c r="D49" s="297" t="str">
        <x:v>Separated actual publication/model/API artifacts; original study never assigned permanent IDs</x:v>
      </x:c>
      <x:c r="E49" s="297" t="str">
        <x:v>17 Oct 2026</x:v>
      </x:c>
      <x:c r="F49" s="297" t="str">
        <x:v>Six APIs are one collection; DSDM PDF+IDL one model record</x:v>
      </x:c>
      <x:c r="G49" s="297" t="str">
        <x:v>C239 Appendix B</x:v>
      </x:c>
    </x:row>
    <x:row r="50" ht="120" customHeight="1">
      <x:c r="A50" s="297" t="str">
        <x:v>SSN draft candidate in update plan</x:v>
      </x:c>
      <x:c r="B50" s="297" t="str">
        <x:v>12 Oct 2026 Working Draft</x:v>
      </x:c>
      <x:c r="C50" s="297" t="str">
        <x:v>S99</x:v>
      </x:c>
      <x:c r="D50" s="297" t="str">
        <x:v>ALREADY PRESENT—extended note, not a second source</x:v>
      </x:c>
      <x:c r="E50" s="297" t="str">
        <x:v>17 Oct 2026</x:v>
      </x:c>
      <x:c r="F50" s="297" t="str">
        <x:v>API correspondences distinguished from ontology alignments</x:v>
      </x:c>
      <x:c r="G50" s="297" t="str">
        <x:v>S99 exact dated URL</x:v>
      </x:c>
    </x:row>
    <x:row r="51" ht="120" customHeight="1">
      <x:c r="A51" s="297" t="str">
        <x:v>Historical SAPIENT guidance</x:v>
      </x:c>
      <x:c r="B51" s="297" t="str">
        <x:v>2024 program overview</x:v>
      </x:c>
      <x:c r="C51" s="297" t="str">
        <x:v>S51; later edition S124</x:v>
      </x:c>
      <x:c r="D51" s="297" t="str">
        <x:v>Same URL, different dated guidance editions retained</x:v>
      </x:c>
      <x:c r="E51" s="297" t="str">
        <x:v>17 Oct 2026</x:v>
      </x:c>
      <x:c r="F51" s="297" t="str">
        <x:v>Historical coexistence wording not on retrieved 2026 page</x:v>
      </x:c>
      <x:c r="G51" s="297" t="str">
        <x:v>GOV.UK update history</x:v>
      </x:c>
    </x:row>
  </x:sheetData>
  <x:pageMargins left="0.7" right="0.7" top="0.75" bottom="0.75" header="0.3" footer="0.3"/>
  <x:tableParts count="1">
    <x:tablePart xmlns:r="http://schemas.openxmlformats.org/officeDocument/2006/relationships" r:id="R3f76ee787f8d48a6"/>
  </x:tableParts>
</x:worksheet>
</file>

<file path=xl/worksheets/sheet1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37" hidden="0" customWidth="1"/>
    <x:col min="3" max="3" width="37" hidden="0" customWidth="1"/>
    <x:col min="4" max="4" width="37" hidden="0" customWidth="1"/>
    <x:col min="5" max="5" width="37" hidden="0" customWidth="1"/>
    <x:col min="6" max="6" width="37" hidden="0" customWidth="1"/>
    <x:col min="7" max="7" width="37" hidden="0" customWidth="1"/>
  </x:cols>
  <x:sheetData>
    <x:row r="1" ht="36" customHeight="1">
      <x:c r="A1" s="293" t="str">
        <x:v>Workstream</x:v>
      </x:c>
      <x:c r="B1" s="293" t="str">
        <x:v>Study / version</x:v>
      </x:c>
      <x:c r="C1" s="293" t="str">
        <x:v>Evidence state</x:v>
      </x:c>
      <x:c r="D1" s="293" t="str">
        <x:v>Applied contribution / result</x:v>
      </x:c>
      <x:c r="E1" s="293" t="str">
        <x:v>Master sources</x:v>
      </x:c>
      <x:c r="F1" s="293" t="str">
        <x:v>Residual / boundary</x:v>
      </x:c>
      <x:c r="G1" s="293" t="str">
        <x:v>Current status 17 Oct 2026</x:v>
      </x:c>
    </x:row>
    <x:row r="2" ht="100" customHeight="1">
      <x:c r="A2" s="294" t="str">
        <x:v>Base landscape</x:v>
      </x:c>
      <x:c r="B2" s="294" t="str">
        <x:v>Bibliography/register v0.8</x:v>
      </x:c>
      <x:c r="C2" s="294" t="str">
        <x:v>Historical 109-source corpus retained with dated updates</x:v>
      </x:c>
      <x:c r="D2" s="294" t="str">
        <x:v>Original source identities and historical argument retained; dated S97/S99 corrections and source-specific update notes.</x:v>
      </x:c>
      <x:c r="E2" s="294" t="str">
        <x:v>S01–S109</x:v>
      </x:c>
      <x:c r="F2" s="294" t="str">
        <x:v>Original inspection limits still apply</x:v>
      </x:c>
      <x:c r="G2" s="294" t="str">
        <x:v>RECONCILED v0.9</x:v>
      </x:c>
    </x:row>
    <x:row r="3" ht="100" customHeight="1">
      <x:c r="A3" s="294" t="str">
        <x:v>Main profile</x:v>
      </x:c>
      <x:c r="B3" s="294" t="str">
        <x:v>MPSS v0.3.5; primer v0.5</x:v>
      </x:c>
      <x:c r="C3" s="294" t="str">
        <x:v>Four approved bounded increments</x:v>
      </x:c>
      <x:c r="D3" s="294" t="str">
        <x:v>R01/R02/R04/R08/R09/R10/R11/R12/R15/R16/R17/R20 dispositions traced</x:v>
      </x:c>
      <x:c r="E3" s="294" t="str">
        <x:v>See Applied R01-R20</x:v>
      </x:c>
      <x:c r="F3" s="294" t="str">
        <x:v>Working profile, not live interoperability or published v0.4</x:v>
      </x:c>
      <x:c r="G3" s="294" t="str">
        <x:v>APPLIED THROUGH v0.3.5; UNCHANGED HERE</x:v>
      </x:c>
    </x:row>
    <x:row r="4" ht="100" customHeight="1">
      <x:c r="A4" s="294" t="str">
        <x:v>Power Source</x:v>
      </x:c>
      <x:c r="B4" s="294" t="str">
        <x:v>Recommendation v0.1, 14 Oct</x:v>
      </x:c>
      <x:c r="C4" s="294" t="str">
        <x:v>Completed source-backed recommendation</x:v>
      </x:c>
      <x:c r="D4" s="294" t="str">
        <x:v>R16 and bounded R17 applied; full specialized arrangement not adopted</x:v>
      </x:c>
      <x:c r="E4" s="294" t="str">
        <x:v>S09–S10; S61–S67</x:v>
      </x:c>
      <x:c r="F4" s="294" t="str">
        <x:v>IG03/IG04 remain</x:v>
      </x:c>
      <x:c r="G4" s="294" t="str">
        <x:v>PARTLY APPLIED</x:v>
      </x:c>
    </x:row>
    <x:row r="5" ht="100" customHeight="1">
      <x:c r="A5" s="294" t="str">
        <x:v>ISA Phase 2</x:v>
      </x:c>
      <x:c r="B5" s="294" t="str">
        <x:v>Report/crosswalk/memo, 14 Oct</x:v>
      </x:c>
      <x:c r="C5" s="294" t="str">
        <x:v>Completed bounded study</x:v>
      </x:c>
      <x:c r="D5" s="294" t="str">
        <x:v>Identity, mediation and command meanings used; lineage preserved; maturity residual</x:v>
      </x:c>
      <x:c r="E5" s="294" t="str">
        <x:v>S85–S95</x:v>
      </x:c>
      <x:c r="F5" s="294" t="str">
        <x:v>IG01/IG02/IG07; IEEE only where dependent</x:v>
      </x:c>
      <x:c r="G5" s="294" t="str">
        <x:v>PARTLY APPLIED</x:v>
      </x:c>
    </x:row>
    <x:row r="6" ht="100" customHeight="1">
      <x:c r="A6" s="294" t="str">
        <x:v>IEEE/TEDS</x:v>
      </x:c>
      <x:c r="B6" s="294" t="str">
        <x:v>Pass1A v0.1, 14 Oct</x:v>
      </x:c>
      <x:c r="C6" s="294" t="str">
        <x:v>Public-source reconstruction</x:v>
      </x:c>
      <x:c r="D6" s="294" t="str">
        <x:v>Candidate channel semantics and established research precedents retained</x:v>
      </x:c>
      <x:c r="E6" s="294" t="str">
        <x:v>S48; S71–S84</x:v>
      </x:c>
      <x:c r="F6" s="294" t="str">
        <x:v>Licensed source gate unchanged, IG06</x:v>
      </x:c>
      <x:c r="G6" s="294" t="str">
        <x:v>PROVISIONAL; NOT NORMATIVE COMPLETE</x:v>
      </x:c>
    </x:row>
    <x:row r="7" ht="100" customHeight="1">
      <x:c r="A7" s="294" t="str">
        <x:v>Foundational semantics</x:v>
      </x:c>
      <x:c r="B7" s="294" t="str">
        <x:v>Assessment A–D v1.0, 14 Oct</x:v>
      </x:c>
      <x:c r="C7" s="294" t="str">
        <x:v>Completed bounded study</x:v>
      </x:c>
      <x:c r="D7" s="294" t="str">
        <x:v>System/property/observation distinctions inform later approved increments</x:v>
      </x:c>
      <x:c r="E7" s="294" t="str">
        <x:v>S13–S15; S97–S109</x:v>
      </x:c>
      <x:c r="F7" s="294" t="str">
        <x:v>Its OMS access note is superseded by 15 Oct completed OMS study</x:v>
      </x:c>
      <x:c r="G7" s="294" t="str">
        <x:v>RECONCILED; ORIGINAL STUDY UNCHANGED</x:v>
      </x:c>
    </x:row>
    <x:row r="8" ht="100" customHeight="1">
      <x:c r="A8" s="297" t="str">
        <x:v>OMS 3.0</x:v>
      </x:c>
      <x:c r="B8" s="297" t="str">
        <x:v>Completed normative review A–D, 15 Oct</x:v>
      </x:c>
      <x:c r="C8" s="297" t="str">
        <x:v>Full approved 198-page source inspected by study</x:v>
      </x:c>
      <x:c r="D8" s="297" t="str">
        <x:v>S97 access corrected; relevant R04/R10/R11/R17/R20 semantics applied</x:v>
      </x:c>
      <x:c r="E8" s="297" t="str">
        <x:v>S97; S98; S01–S04</x:v>
      </x:c>
      <x:c r="F8" s="297" t="str">
        <x:v>Optional prospective coverage remains a design question, IG05</x:v>
      </x:c>
      <x:c r="G8" s="297" t="str">
        <x:v>SOURCE GATE CLOSED; PARTLY APPLIED</x:v>
      </x:c>
    </x:row>
    <x:row r="9" ht="100" customHeight="1">
      <x:c r="A9" s="297" t="str">
        <x:v>SAPIENT v2</x:v>
      </x:c>
      <x:c r="B9" s="297" t="str">
        <x:v>Complete assessment/crosswalk/ledger, 15 Oct</x:v>
      </x:c>
      <x:c r="C9" s="297" t="str">
        <x:v>Full BSI source and pinned implementation documentation</x:v>
      </x:c>
      <x:c r="D9" s="297" t="str">
        <x:v>S110–S113 added; source distinctions mapped in approved increments</x:v>
      </x:c>
      <x:c r="E9" s="297" t="str">
        <x:v>S110–S113; S51; S124</x:v>
      </x:c>
      <x:c r="F9" s="297" t="str">
        <x:v>No v3; no wire-test results; IG01/IG02/IG09</x:v>
      </x:c>
      <x:c r="G9" s="297" t="str">
        <x:v>RECONCILED; PARTLY APPLIED</x:v>
      </x:c>
    </x:row>
    <x:row r="10" ht="100" customHeight="1">
      <x:c r="A10" s="297" t="str">
        <x:v>Open Group SOSA / DISR</x:v>
      </x:c>
      <x:c r="B10" s="297" t="str">
        <x:v>Complete assessment and full screen, 15 Oct</x:v>
      </x:c>
      <x:c r="C10" s="297" t="str">
        <x:v>C239 and companions; S251 separately; 5,253 metadata records</x:v>
      </x:c>
      <x:c r="D10" s="297" t="str">
        <x:v>S114–S120 added; 29 shortlist records retained separately</x:v>
      </x:c>
      <x:c r="E10" s="297" t="str">
        <x:v>S25; S114–S120</x:v>
      </x:c>
      <x:c r="F10" s="297" t="str">
        <x:v>137 independent QA rows pending; no universal SOSA scope</x:v>
      </x:c>
      <x:c r="G10" s="297" t="str">
        <x:v>RECONCILED; CONDITIONAL ADAPTER</x:v>
      </x:c>
    </x:row>
    <x:row r="11" ht="100" customHeight="1">
      <x:c r="A11" s="297" t="str">
        <x:v>Evidence consolidation</x:v>
      </x:c>
      <x:c r="B11" s="297" t="str">
        <x:v>Bibliography/register v0.9, 17 Oct</x:v>
      </x:c>
      <x:c r="C11" s="297" t="str">
        <x:v>Documentary reconciliation only</x:v>
      </x:c>
      <x:c r="D11" s="297" t="str">
        <x:v>124 source records, current decisions, lineage and finite residual gaps</x:v>
      </x:c>
      <x:c r="E11" s="297" t="str">
        <x:v>S01–S124</x:v>
      </x:c>
      <x:c r="F11" s="297" t="str">
        <x:v>No technical profile, native adapter or DISR mutation</x:v>
      </x:c>
      <x:c r="G11" s="297" t="str">
        <x:v>COMPLETE</x:v>
      </x:c>
    </x:row>
    <x:row r="12" ht="135" customHeight="1">
      <x:c r="A12" s="223" t="str">
        <x:v>OSCAR mapping and residual research</x:v>
      </x:c>
      <x:c r="B12" s="223" t="str">
        <x:v>v1.0 / 22 Oct 2026</x:v>
      </x:c>
      <x:c r="C12" s="223" t="str">
        <x:v>Pinned source + historical example; no live instance capture</x:v>
      </x:c>
      <x:c r="D12" s="223" t="str">
        <x:v>27 mapping rows; 8 residuals; no Operational Episode adoption</x:v>
      </x:c>
      <x:c r="E12" s="223" t="str">
        <x:v>S125–S140; S01–S04/S97/S121–S123</x:v>
      </x:c>
      <x:c r="F12" s="223" t="str">
        <x:v>Vocabulary and exact association/access bindings remain finite next work</x:v>
      </x:c>
      <x:c r="G12" s="223" t="str">
        <x:v>Research complete; no technical-profile revision</x:v>
      </x:c>
    </x:row>
    <x:row r="13" ht="135" customHeight="1">
      <x:c r="A13" s="223" t="str">
        <x:v>SAPIENT native walkthrough</x:v>
      </x:c>
      <x:c r="B13" s="223" t="str">
        <x:v>v1.0 / 17 Oct 2026</x:v>
      </x:c>
      <x:c r="C13" s="223" t="str">
        <x:v>Existing completed packet recovered</x:v>
      </x:c>
      <x:c r="D13" s="223" t="str">
        <x:v>Prior PITON next action already completed</x:v>
      </x:c>
      <x:c r="E13" s="223" t="str">
        <x:v>S110–S113</x:v>
      </x:c>
      <x:c r="F13" s="223" t="str">
        <x:v>Not re-executed or represented as a live native adapter here</x:v>
      </x:c>
      <x:c r="G13" s="223" t="str">
        <x:v>Preserved as prior completed work</x:v>
      </x:c>
    </x:row>
  </x:sheetData>
  <x:pageMargins left="0.7" right="0.7" top="0.75" bottom="0.75" header="0.3" footer="0.3"/>
  <x:tableParts count="1">
    <x:tablePart xmlns:r="http://schemas.openxmlformats.org/officeDocument/2006/relationships" r:id="Rcb0f7e046a1946bc"/>
  </x:tableParts>
</x:worksheet>
</file>

<file path=xl/worksheets/sheet1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37" hidden="0" customWidth="1"/>
    <x:col min="3" max="3" width="37" hidden="0" customWidth="1"/>
    <x:col min="4" max="4" width="37" hidden="0" customWidth="1"/>
    <x:col min="5" max="5" width="37" hidden="0" customWidth="1"/>
    <x:col min="6" max="6" width="37" hidden="0" customWidth="1"/>
    <x:col min="7" max="7" width="37" hidden="0" customWidth="1"/>
  </x:cols>
  <x:sheetData>
    <x:row r="1" ht="36" customHeight="1">
      <x:c r="A1" s="293" t="str">
        <x:v>Gate</x:v>
      </x:c>
      <x:c r="B1" s="293" t="str">
        <x:v>Status</x:v>
      </x:c>
      <x:c r="C1" s="293" t="str">
        <x:v>Source / artifact</x:v>
      </x:c>
      <x:c r="D1" s="293" t="str">
        <x:v>Why it matters</x:v>
      </x:c>
      <x:c r="E1" s="293" t="str">
        <x:v>What is supportable</x:v>
      </x:c>
      <x:c r="F1" s="293" t="str">
        <x:v>Remaining action</x:v>
      </x:c>
      <x:c r="G1" s="293" t="str">
        <x:v>Affected scope</x:v>
      </x:c>
    </x:row>
    <x:row r="2" ht="100" customHeight="1">
      <x:c r="A2" s="294" t="str">
        <x:v>G01</x:v>
      </x:c>
      <x:c r="B2" s="294" t="str">
        <x:v>BLOCKED—NORMATIVE SOURCE</x:v>
      </x:c>
      <x:c r="C2" s="294" t="str">
        <x:v>IEEE 1451.0-2024 and ISO/IEC/IEEE21450/21451</x:v>
      </x:c>
      <x:c r="D2" s="294" t="str">
        <x:v>Exact channel terms/dependencies not verified</x:v>
      </x:c>
      <x:c r="E2" s="294" t="str">
        <x:v>Pass1A candidate content remains useful</x:v>
      </x:c>
      <x:c r="F2" s="294" t="str">
        <x:v>Authorized full text; existing targeted backlog only</x:v>
      </x:c>
      <x:c r="G2" s="294" t="str">
        <x:v>IG06; R01–R04/R09–R12</x:v>
      </x:c>
    </x:row>
    <x:row r="3" ht="100" customHeight="1">
      <x:c r="A3" s="294" t="str">
        <x:v>G02</x:v>
      </x:c>
      <x:c r="B3" s="294" t="str">
        <x:v>CLOSED—2026-10-15</x:v>
      </x:c>
      <x:c r="C3" s="294" t="str">
        <x:v>OGC OMS3 20-082r4 full supplied 198-page PDF</x:v>
      </x:c>
      <x:c r="D3" s="294" t="str">
        <x:v>Former access gate resolved</x:v>
      </x:c>
      <x:c r="E3" s="294" t="str">
        <x:v>Exact source/class/test evidence exists; selected semantic guidance applied</x:v>
      </x:c>
      <x:c r="F3" s="294" t="str">
        <x:v>No reacquisition; optional prospective design remains IG05</x:v>
      </x:c>
      <x:c r="G3" s="294" t="str">
        <x:v>R04/R10/R11/R17/R20</x:v>
      </x:c>
    </x:row>
    <x:row r="4" ht="100" customHeight="1">
      <x:c r="A4" s="294" t="str">
        <x:v>G03</x:v>
      </x:c>
      <x:c r="B4" s="294" t="str">
        <x:v>CONDITIONAL—UNADOPTED LEAD</x:v>
      </x:c>
      <x:c r="C4" s="294" t="str">
        <x:v>I-ADOPT OMS extension roadmap</x:v>
      </x:c>
      <x:c r="D4" s="294" t="str">
        <x:v>Not a selected approved dependency</x:v>
      </x:c>
      <x:c r="E4" s="294" t="str">
        <x:v>Existing I-ADOPT source/pattern analysis retained</x:v>
      </x:c>
      <x:c r="F4" s="294" t="str">
        <x:v>Revisit only if an actual selected requirement needs it</x:v>
      </x:c>
      <x:c r="G4" s="294" t="str">
        <x:v>IG11; source S107</x:v>
      </x:c>
    </x:row>
    <x:row r="5" ht="100" customHeight="1">
      <x:c r="A5" s="294" t="str">
        <x:v>G04</x:v>
      </x:c>
      <x:c r="B5" s="294" t="str">
        <x:v>PARTLY CLOSED—BOUNDED POWER APPLIED</x:v>
      </x:c>
      <x:c r="C5" s="294" t="str">
        <x:v>RFC7326/7577 and Power Recommendation</x:v>
      </x:c>
      <x:c r="D5" s="294" t="str">
        <x:v>R16 typed links and R17 quantity example applied</x:v>
      </x:c>
      <x:c r="E5" s="294" t="str">
        <x:v>No need to repeat prior owner approvals</x:v>
      </x:c>
      <x:c r="F5" s="294" t="str">
        <x:v>Resolve only detailed power/event residuals IG03/IG04</x:v>
      </x:c>
      <x:c r="G5" s="294" t="str">
        <x:v>R16–R19</x:v>
      </x:c>
    </x:row>
    <x:row r="6" ht="100" customHeight="1">
      <x:c r="A6" s="294" t="str">
        <x:v>G05</x:v>
      </x:c>
      <x:c r="B6" s="294" t="str">
        <x:v>PARTLY CLOSED—MODE/PRODUCT APPLIED</x:v>
      </x:c>
      <x:c r="C6" s="294" t="str">
        <x:v>ISA/SAPIENT/OGC capability contract</x:v>
      </x:c>
      <x:c r="D6" s="294" t="str">
        <x:v>R04/R09/R10 mode/product rules applied in v0.3.4</x:v>
      </x:c>
      <x:c r="E6" s="294" t="str">
        <x:v>Generic supported/configured/available distinctions do not wait for IEEE</x:v>
      </x:c>
      <x:c r="F6" s="294" t="str">
        <x:v>Only exact channel terms retain IEEE gate</x:v>
      </x:c>
      <x:c r="G6" s="294" t="str">
        <x:v>R04/R09/R10; IG06</x:v>
      </x:c>
    </x:row>
    <x:row r="7" ht="100" customHeight="1">
      <x:c r="A7" s="294" t="str">
        <x:v>G06</x:v>
      </x:c>
      <x:c r="B7" s="294" t="str">
        <x:v>OPEN—EXACT VOCABULARY/RIGHTS</x:v>
      </x:c>
      <x:c r="C7" s="294" t="str">
        <x:v>QUDT/SWEET/UCUM and local source terms</x:v>
      </x:c>
      <x:c r="D7" s="294" t="str">
        <x:v>Published quantitykind is not a terminal-specific definition</x:v>
      </x:c>
      <x:c r="E7" s="294" t="str">
        <x:v>Qualified illustrative battery term is explicitly local</x:v>
      </x:c>
      <x:c r="F7" s="294" t="str">
        <x:v>Choose exact definitions/editions only where needed</x:v>
      </x:c>
      <x:c r="G7" s="294" t="str">
        <x:v>IG07; definition catalogue</x:v>
      </x:c>
    </x:row>
    <x:row r="8" ht="100" customHeight="1">
      <x:c r="A8" s="294" t="str">
        <x:v>G07</x:v>
      </x:c>
      <x:c r="B8" s="294" t="str">
        <x:v>NOT SELECTED—EXTERNAL RUNTIME STACK</x:v>
      </x:c>
      <x:c r="C8" s="294" t="str">
        <x:v>Native ISA/IEEE/SAPIENT/SOSA/Redfish or RDF platforms</x:v>
      </x:c>
      <x:c r="D8" s="294" t="str">
        <x:v>No universal external-runtime requirement</x:v>
      </x:c>
      <x:c r="E8" s="294" t="str">
        <x:v>Selected meaning can be translated into native OGC carriers</x:v>
      </x:c>
      <x:c r="F8" s="294" t="str">
        <x:v>Reopen only for an actual source/provider requirement</x:v>
      </x:c>
      <x:c r="G8" s="294" t="str">
        <x:v>Whole profile; no new code</x:v>
      </x:c>
    </x:row>
    <x:row r="9" ht="100" customHeight="1">
      <x:c r="A9" s="297" t="str">
        <x:v>G08</x:v>
      </x:c>
      <x:c r="B9" s="297" t="str">
        <x:v>OPEN—INDEPENDENT QA</x:v>
      </x:c>
      <x:c r="C9" s="297" t="str">
        <x:v>SOSA complete DISR metadata screen</x:v>
      </x:c>
      <x:c r="D9" s="297" t="str">
        <x:v>5,253 screened; 29 shortlist; 137 sample rows pending</x:v>
      </x:c>
      <x:c r="E9" s="297" t="str">
        <x:v>Coverage repair is metadata screening, not 5,253 normative reviews</x:v>
      </x:c>
      <x:c r="F9" s="297" t="str">
        <x:v>Preserve sample for independent human QA</x:v>
      </x:c>
      <x:c r="G9" s="297" t="str">
        <x:v>IG08</x:v>
      </x:c>
    </x:row>
    <x:row r="10" ht="100" customHeight="1">
      <x:c r="A10" s="297" t="str">
        <x:v>G09</x:v>
      </x:c>
      <x:c r="B10" s="297" t="str">
        <x:v>CONDITIONAL—NATIVE VARIANCES</x:v>
      </x:c>
      <x:c r="C10" s="297" t="str">
        <x:v>SAPIENT printed tables versus pinned protobuf</x:v>
      </x:c>
      <x:c r="D10" s="297" t="str">
        <x:v>Source-specific discrepancies matter for native behavior</x:v>
      </x:c>
      <x:c r="E10" s="297" t="str">
        <x:v>Broad semantic comparison remains usable</x:v>
      </x:c>
      <x:c r="F10" s="297" t="str">
        <x:v>Resolve affected variance for actual native mapping/implementation</x:v>
      </x:c>
      <x:c r="G10" s="297" t="str">
        <x:v>IG09</x:v>
      </x:c>
    </x:row>
    <x:row r="11" ht="100" customHeight="1">
      <x:c r="A11" s="297" t="str">
        <x:v>G10</x:v>
      </x:c>
      <x:c r="B11" s="297" t="str">
        <x:v>NOT PERFORMED—FULL IMPLEMENTATION VALIDATION</x:v>
      </x:c>
      <x:c r="C11" s="297" t="str">
        <x:v>Complete OGC schema closure; native providers/common client</x:v>
      </x:c>
      <x:c r="D11" s="297" t="str">
        <x:v>Prior QA is structural/reference/conversion, not full conformance</x:v>
      </x:c>
      <x:c r="E11" s="297" t="str">
        <x:v>Approved draft remains coherent at documented level</x:v>
      </x:c>
      <x:c r="F11" s="297" t="str">
        <x:v>Separate authorized implementation/testing task</x:v>
      </x:c>
      <x:c r="G11" s="297" t="str">
        <x:v>IG10</x:v>
      </x:c>
    </x:row>
    <x:row r="12" ht="135" customHeight="1">
      <x:c r="A12" s="223" t="str">
        <x:v>OSCAR native runtime instance</x:v>
      </x:c>
      <x:c r="B12" s="223" t="str">
        <x:v>Open</x:v>
      </x:c>
      <x:c r="C12" s="223" t="str">
        <x:v>S139 source contracts</x:v>
      </x:c>
      <x:c r="D12" s="223" t="str">
        <x:v>Avoid inventing a production passage</x:v>
      </x:c>
      <x:c r="E12" s="223" t="str">
        <x:v>Source-derived field meanings and explicitly synthetic demonstration</x:v>
      </x:c>
      <x:c r="F12" s="223" t="str">
        <x:v>Use a captured authorized instance for eventual adapter tests</x:v>
      </x:c>
      <x:c r="G12" s="223" t="str">
        <x:v>Live mapping evidence</x:v>
      </x:c>
    </x:row>
    <x:row r="13" ht="135" customHeight="1">
      <x:c r="A13" s="223" t="str">
        <x:v>N42 2020 normative/artifact closure</x:v>
      </x:c>
      <x:c r="B13" s="223" t="str">
        <x:v>Open</x:v>
      </x:c>
      <x:c r="C13" s="223" t="str">
        <x:v>S127/S137</x:v>
      </x:c>
      <x:c r="D13" s="223" t="str">
        <x:v>Historical examples are not2020 conformance</x:v>
      </x:c>
      <x:c r="E13" s="223" t="str">
        <x:v>2011 example relationships and official2020 artifact index</x:v>
      </x:c>
      <x:c r="F13" s="223" t="str">
        <x:v>Obtain selected normative edition and artifacts before native conformance claims</x:v>
      </x:c>
      <x:c r="G13" s="223" t="str">
        <x:v>N42-specific validation</x:v>
      </x:c>
    </x:row>
    <x:row r="14" ht="135" customHeight="1">
      <x:c r="A14" s="223" t="str">
        <x:v>Operational Episode addition</x:v>
      </x:c>
      <x:c r="B14" s="223" t="str">
        <x:v>Not selected</x:v>
      </x:c>
      <x:c r="C14" s="223" t="str">
        <x:v>OD02</x:v>
      </x:c>
      <x:c r="D14" s="223" t="str">
        <x:v>No demonstrated necessity for a new universal identity</x:v>
      </x:c>
      <x:c r="E14" s="223" t="str">
        <x:v>Existing occupancy record, source groups and explicit provenance can be evaluated first</x:v>
      </x:c>
      <x:c r="F14" s="223" t="str">
        <x:v>Reopen only if a worked identity/lifecycle requirement remains unmet</x:v>
      </x:c>
      <x:c r="G14" s="223" t="str">
        <x:v>Common core expansion</x:v>
      </x:c>
    </x:row>
  </x:sheetData>
  <x:pageMargins left="0.7" right="0.7" top="0.75" bottom="0.75" header="0.3" footer="0.3"/>
  <x:tableParts count="1">
    <x:tablePart xmlns:r="http://schemas.openxmlformats.org/officeDocument/2006/relationships" r:id="R62510341fa6c4d96"/>
  </x:tableParts>
</x:worksheet>
</file>

<file path=xl/worksheets/sheet1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6" hidden="0" customWidth="1"/>
    <x:col min="3" max="3" width="27" hidden="0" customWidth="1"/>
    <x:col min="4" max="4" width="15" hidden="0" customWidth="1"/>
    <x:col min="5" max="5" width="48" hidden="0" customWidth="1"/>
    <x:col min="6" max="6" width="46" hidden="0" customWidth="1"/>
    <x:col min="7" max="7" width="24" hidden="0" customWidth="1"/>
    <x:col min="8" max="8" width="42" hidden="0" customWidth="1"/>
  </x:cols>
  <x:sheetData>
    <x:row r="1" ht="38" customHeight="1">
      <x:c r="A1" s="302" t="str">
        <x:v>R ID</x:v>
      </x:c>
      <x:c r="B1" s="302" t="str">
        <x:v>Subject</x:v>
      </x:c>
      <x:c r="C1" s="302" t="str">
        <x:v>Current status</x:v>
      </x:c>
      <x:c r="D1" s="302" t="str">
        <x:v>Applied version</x:v>
      </x:c>
      <x:c r="E1" s="302" t="str">
        <x:v>What is actually applied / retained</x:v>
      </x:c>
      <x:c r="F1" s="302" t="str">
        <x:v>Still not established</x:v>
      </x:c>
      <x:c r="G1" s="302" t="str">
        <x:v>Source IDs</x:v>
      </x:c>
      <x:c r="H1" s="302" t="str">
        <x:v>Evidence locator</x:v>
      </x:c>
    </x:row>
    <x:row r="2" ht="58" customHeight="1">
      <x:c r="A2" s="304" t="str">
        <x:v>R01</x:v>
      </x:c>
      <x:c r="B2" s="304" t="str">
        <x:v>System/model and source identity</x:v>
      </x:c>
      <x:c r="C2" s="304" t="str">
        <x:v>APPLIED</x:v>
      </x:c>
      <x:c r="D2" s="304" t="str">
        <x:v>0.3.3</x:v>
      </x:c>
      <x:c r="E2" s="304" t="str">
        <x:v>Physical identity remains distinct from native sender and adapter; model association retained.</x:v>
      </x:c>
      <x:c r="F2" s="304" t="str">
        <x:v>No complete donor identity-resolution service demonstrated.</x:v>
      </x:c>
      <x:c r="G2" s="304" t="str">
        <x:v>S01; S03; S87–S88; S110–S111</x:v>
      </x:c>
      <x:c r="H2" s="304" t="str">
        <x:v>MPSS v0.3.5 §5.6 R01; v0.3.3 change record</x:v>
      </x:c>
    </x:row>
    <x:row r="3" ht="58" customHeight="1">
      <x:c r="A3" s="304" t="str">
        <x:v>R02</x:v>
      </x:c>
      <x:c r="B3" s="304" t="str">
        <x:v>Physical composition</x:v>
      </x:c>
      <x:c r="C3" s="304" t="str">
        <x:v>APPLIED</x:v>
      </x:c>
      <x:c r="D3" s="304" t="str">
        <x:v>0.3.3</x:v>
      </x:c>
      <x:c r="E3" s="304" t="str">
        <x:v>Separate physical containment from functional, tasking and middleware relationships.</x:v>
      </x:c>
      <x:c r="F3" s="304" t="str">
        <x:v>Detailed donor composition crosswalks remain source-specific.</x:v>
      </x:c>
      <x:c r="G3" s="304" t="str">
        <x:v>S01; S03; S87–S88; S110–S115</x:v>
      </x:c>
      <x:c r="H3" s="304" t="str">
        <x:v>MPSS v0.3.5 §5.6 R02</x:v>
      </x:c>
    </x:row>
    <x:row r="4" ht="58" customHeight="1">
      <x:c r="A4" s="304" t="str">
        <x:v>R03</x:v>
      </x:c>
      <x:c r="B4" s="304" t="str">
        <x:v>Attachment / mounting</x:v>
      </x:c>
      <x:c r="C4" s="304" t="str">
        <x:v>UNCHANGED BASELINE</x:v>
      </x:c>
      <x:c r="D4" s="304" t="str">
        <x:v>0.3.1 lineage</x:v>
      </x:c>
      <x:c r="E4" s="304" t="str">
        <x:v>Existing physical attachment and reference-frame model remains in force.</x:v>
      </x:c>
      <x:c r="F4" s="304" t="str">
        <x:v>No new disposition or source-complete adapter implied.</x:v>
      </x:c>
      <x:c r="G4" s="304" t="str">
        <x:v>S01; S03</x:v>
      </x:c>
      <x:c r="H4" s="304" t="str">
        <x:v>MPSS v0.3.5 §5.6 R03</x:v>
      </x:c>
    </x:row>
    <x:row r="5" ht="58" customHeight="1">
      <x:c r="A5" s="304" t="str">
        <x:v>R04</x:v>
      </x:c>
      <x:c r="B5" s="304" t="str">
        <x:v>Functions and capabilities</x:v>
      </x:c>
      <x:c r="C5" s="304" t="str">
        <x:v>APPLIED</x:v>
      </x:c>
      <x:c r="D5" s="304" t="str">
        <x:v>0.3.4</x:v>
      </x:c>
      <x:c r="E5" s="304" t="str">
        <x:v>Existing capability groups can be scoped within native SensorML Modes.</x:v>
      </x:c>
      <x:c r="F5" s="304" t="str">
        <x:v>IEEE exact channel semantics and deployment-qualified coverage remain conditional.</x:v>
      </x:c>
      <x:c r="G5" s="304" t="str">
        <x:v>S01; S47; S59; S87–S88; S97; S110</x:v>
      </x:c>
      <x:c r="H5" s="304" t="str">
        <x:v>MPSS v0.3.5 R04; SOURCE_EVIDENCE_v0.3.4</x:v>
      </x:c>
    </x:row>
    <x:row r="6" ht="58" customHeight="1">
      <x:c r="A6" s="304" t="str">
        <x:v>R05</x:v>
      </x:c>
      <x:c r="B6" s="304" t="str">
        <x:v>Deployment participation</x:v>
      </x:c>
      <x:c r="C6" s="304" t="str">
        <x:v>UNCHANGED BASELINE</x:v>
      </x:c>
      <x:c r="D6" s="304" t="str">
        <x:v>0.3.1 lineage</x:v>
      </x:c>
      <x:c r="E6" s="304" t="str">
        <x:v>Native Deployment/DeployedSystem participation retained.</x:v>
      </x:c>
      <x:c r="F6" s="304" t="str">
        <x:v>No donor hierarchy automatically becomes deployment containment.</x:v>
      </x:c>
      <x:c r="G6" s="304" t="str">
        <x:v>S01; S03; S97</x:v>
      </x:c>
      <x:c r="H6" s="304" t="str">
        <x:v>MPSS v0.3.5 R05</x:v>
      </x:c>
    </x:row>
    <x:row r="7" ht="58" customHeight="1">
      <x:c r="A7" s="304" t="str">
        <x:v>R06</x:v>
      </x:c>
      <x:c r="B7" s="304" t="str">
        <x:v>Broader employment</x:v>
      </x:c>
      <x:c r="C7" s="304" t="str">
        <x:v>UNCHANGED BASELINE</x:v>
      </x:c>
      <x:c r="D7" s="304" t="str">
        <x:v>0.3.1 lineage</x:v>
      </x:c>
      <x:c r="E7" s="304" t="str">
        <x:v>Existing deployment relationships retained.</x:v>
      </x:c>
      <x:c r="F7" s="304" t="str">
        <x:v>No new normative aggregation or authority rule selected.</x:v>
      </x:c>
      <x:c r="G7" s="304" t="str">
        <x:v>S01; S03</x:v>
      </x:c>
      <x:c r="H7" s="304" t="str">
        <x:v>MPSS v0.3.5 R06</x:v>
      </x:c>
    </x:row>
    <x:row r="8" ht="58" customHeight="1">
      <x:c r="A8" s="304" t="str">
        <x:v>R07</x:v>
      </x:c>
      <x:c r="B8" s="304" t="str">
        <x:v>Purpose and employment context</x:v>
      </x:c>
      <x:c r="C8" s="304" t="str">
        <x:v>UNCHANGED BASELINE</x:v>
      </x:c>
      <x:c r="D8" s="304" t="str">
        <x:v>0.3.1 lineage</x:v>
      </x:c>
      <x:c r="E8" s="304" t="str">
        <x:v>Existing purpose, place, validity and responsibility framework retained.</x:v>
      </x:c>
      <x:c r="F8" s="304" t="str">
        <x:v>Local purpose/role vocabulary stewardship remains a separate review.</x:v>
      </x:c>
      <x:c r="G8" s="304" t="str">
        <x:v>S01; S03</x:v>
      </x:c>
      <x:c r="H8" s="304" t="str">
        <x:v>MPSS v0.3.5 R07; §5.14</x:v>
      </x:c>
    </x:row>
    <x:row r="9" ht="58" customHeight="1">
      <x:c r="A9" s="304" t="str">
        <x:v>R08</x:v>
      </x:c>
      <x:c r="B9" s="304" t="str">
        <x:v>Configuration</x:v>
      </x:c>
      <x:c r="C9" s="304" t="str">
        <x:v>RETAINED AFTER REVIEW</x:v>
      </x:c>
      <x:c r="D9" s="304" t="str">
        <x:v>0.3.2</x:v>
      </x:c>
      <x:c r="E9" s="304" t="str">
        <x:v>No replacement needed; native settings retained. Mode scoping in R04/R09 adds context without a new runtime.</x:v>
      </x:c>
      <x:c r="F9" s="304" t="str">
        <x:v>Configured, reported and enabled/available states remain distinct.</x:v>
      </x:c>
      <x:c r="G9" s="304" t="str">
        <x:v>S01; S87–S90; S110</x:v>
      </x:c>
      <x:c r="H9" s="304" t="str">
        <x:v>v0.3.2 approved change record; MPSS R08</x:v>
      </x:c>
    </x:row>
    <x:row r="10" ht="58" customHeight="1">
      <x:c r="A10" s="304" t="str">
        <x:v>R09</x:v>
      </x:c>
      <x:c r="B10" s="304" t="str">
        <x:v>Function/parameter association</x:v>
      </x:c>
      <x:c r="C10" s="304" t="str">
        <x:v>APPLIED</x:v>
      </x:c>
      <x:c r="D10" s="304" t="str">
        <x:v>0.3.4</x:v>
      </x:c>
      <x:c r="E10" s="304" t="str">
        <x:v>Mode placement and process-relative named paths specified without duplicating parameter definitions.</x:v>
      </x:c>
      <x:c r="F10" s="304" t="str">
        <x:v>No universal algorithm for complex mode dependencies.</x:v>
      </x:c>
      <x:c r="G10" s="304" t="str">
        <x:v>S01; S59; S87–S88; S110</x:v>
      </x:c>
      <x:c r="H10" s="304" t="str">
        <x:v>MPSS v0.3.5 R09; SOURCE_EVIDENCE_v0.3.4</x:v>
      </x:c>
    </x:row>
    <x:row r="11" ht="58" customHeight="1">
      <x:c r="A11" s="304" t="str">
        <x:v>R10</x:v>
      </x:c>
      <x:c r="B11" s="304" t="str">
        <x:v>Declared products and available data</x:v>
      </x:c>
      <x:c r="C11" s="304" t="str">
        <x:v>APPLIED</x:v>
      </x:c>
      <x:c r="D11" s="304" t="str">
        <x:v>0.3.4</x:v>
      </x:c>
      <x:c r="E11" s="304" t="str">
        <x:v>Separate supported products, exposed streams, recorded observations and live availability.</x:v>
      </x:c>
      <x:c r="F11" s="304" t="str">
        <x:v>Broader prospective operational coverage is not implemented.</x:v>
      </x:c>
      <x:c r="G11" s="304" t="str">
        <x:v>S04; S59; S97; S110; S122</x:v>
      </x:c>
      <x:c r="H11" s="304" t="str">
        <x:v>MPSS v0.3.5 R10; SOURCE_EVIDENCE_v0.3.4</x:v>
      </x:c>
    </x:row>
    <x:row r="12" ht="58" customHeight="1">
      <x:c r="A12" s="304" t="str">
        <x:v>R11</x:v>
      </x:c>
      <x:c r="B12" s="304" t="str">
        <x:v>Observation subject, history and lineage</x:v>
      </x:c>
      <x:c r="C12" s="304" t="str">
        <x:v>APPLIED WITH RESIDUAL</x:v>
      </x:c>
      <x:c r="D12" s="304" t="str">
        <x:v>0.3.5</x:v>
      </x:c>
      <x:c r="E12" s="304" t="str">
        <x:v>Native sampling-subject selection, historical subject retention, and source-specific lineage preservation guidance.</x:v>
      </x:c>
      <x:c r="F12" s="304" t="str">
        <x:v>No common-client fusion/correction/recall/navigation binding.</x:v>
      </x:c>
      <x:c r="G12" s="304" t="str">
        <x:v>S03–S04; S90; S97; S110–S111; S122</x:v>
      </x:c>
      <x:c r="H12" s="304" t="str">
        <x:v>MPSS v0.3.5 R11; SOURCE_EVIDENCE_v0.3.5</x:v>
      </x:c>
    </x:row>
    <x:row r="13" ht="58" customHeight="1">
      <x:c r="A13" s="304" t="str">
        <x:v>R12</x:v>
      </x:c>
      <x:c r="B13" s="304" t="str">
        <x:v>Commands and effects</x:v>
      </x:c>
      <x:c r="C13" s="304" t="str">
        <x:v>APPLIED</x:v>
      </x:c>
      <x:c r="D13" s="304" t="str">
        <x:v>0.3.2</x:v>
      </x:c>
      <x:c r="E13" s="304" t="str">
        <x:v>Command completion/result does not by itself independently verify physical state.</x:v>
      </x:c>
      <x:c r="F13" s="304" t="str">
        <x:v>Native role/behavior conversion still depends on the actual source.</x:v>
      </x:c>
      <x:c r="G13" s="304" t="str">
        <x:v>S04; S88; S90; S110</x:v>
      </x:c>
      <x:c r="H13" s="304" t="str">
        <x:v>MPSS v0.3.5 R12; v0.3.2 change record</x:v>
      </x:c>
    </x:row>
    <x:row r="14" ht="58" customHeight="1">
      <x:c r="A14" s="304" t="str">
        <x:v>R13</x:v>
      </x:c>
      <x:c r="B14" s="304" t="str">
        <x:v>Communications interfaces</x:v>
      </x:c>
      <x:c r="C14" s="304" t="str">
        <x:v>UNCHANGED BASELINE</x:v>
      </x:c>
      <x:c r="D14" s="304" t="str">
        <x:v>0.3.1 lineage</x:v>
      </x:c>
      <x:c r="E14" s="304" t="str">
        <x:v>Existing IETF-informed equipment interface descriptions retained.</x:v>
      </x:c>
      <x:c r="F14" s="304" t="str">
        <x:v>No native network control or full donor interface mapping.</x:v>
      </x:c>
      <x:c r="G14" s="304" t="str">
        <x:v>S53–S54</x:v>
      </x:c>
      <x:c r="H14" s="304" t="str">
        <x:v>MPSS v0.3.5 R13</x:v>
      </x:c>
    </x:row>
    <x:row r="15" ht="58" customHeight="1">
      <x:c r="A15" s="304" t="str">
        <x:v>R14</x:v>
      </x:c>
      <x:c r="B15" s="304" t="str">
        <x:v>Communications topology</x:v>
      </x:c>
      <x:c r="C15" s="304" t="str">
        <x:v>UNCHANGED BASELINE</x:v>
      </x:c>
      <x:c r="D15" s="304" t="str">
        <x:v>0.3.1 lineage</x:v>
      </x:c>
      <x:c r="E15" s="304" t="str">
        <x:v>Existing directed communications relationships retained.</x:v>
      </x:c>
      <x:c r="F15" s="304" t="str">
        <x:v>Tasking/fusion dependencies do not automatically mean network links.</x:v>
      </x:c>
      <x:c r="G15" s="304" t="str">
        <x:v>S55</x:v>
      </x:c>
      <x:c r="H15" s="304" t="str">
        <x:v>MPSS v0.3.5 R14</x:v>
      </x:c>
    </x:row>
    <x:row r="16" ht="58" customHeight="1">
      <x:c r="A16" s="304" t="str">
        <x:v>R15</x:v>
      </x:c>
      <x:c r="B16" s="304" t="str">
        <x:v>Gateway and representation provenance</x:v>
      </x:c>
      <x:c r="C16" s="304" t="str">
        <x:v>APPLIED</x:v>
      </x:c>
      <x:c r="D16" s="304" t="str">
        <x:v>0.3.3</x:v>
      </x:c>
      <x:c r="E16" s="304" t="str">
        <x:v>Optional authored representation-source distinguishes mediation from physical gateway access.</x:v>
      </x:c>
      <x:c r="F16" s="304" t="str">
        <x:v>Source-level provenance is not observation-level fusion lineage.</x:v>
      </x:c>
      <x:c r="G16" s="304" t="str">
        <x:v>S01; S86–S90; S110–S113</x:v>
      </x:c>
      <x:c r="H16" s="304" t="str">
        <x:v>MPSS v0.3.5 R15; v0.3.3 change record</x:v>
      </x:c>
    </x:row>
    <x:row r="17" ht="58" customHeight="1">
      <x:c r="A17" s="304" t="str">
        <x:v>R16</x:v>
      </x:c>
      <x:c r="B17" s="304" t="str">
        <x:v>Energy arrangement</x:v>
      </x:c>
      <x:c r="C17" s="304" t="str">
        <x:v>APPLIED WITH RESIDUAL</x:v>
      </x:c>
      <x:c r="D17" s="304" t="str">
        <x:v>0.3.2</x:v>
      </x:c>
      <x:c r="E17" s="304" t="str">
        <x:v>RFC 7326-informed powers/meters/aggregates replace the provisional association.</x:v>
      </x:c>
      <x:c r="F17" s="304" t="str">
        <x:v>Detailed Power Interfaces, batteries and other electrical specializations remain open.</x:v>
      </x:c>
      <x:c r="G17" s="304" t="str">
        <x:v>S09–S10; S61–S62</x:v>
      </x:c>
      <x:c r="H17" s="304" t="str">
        <x:v>MPSS v0.3.5 R16; Power Recommendation §§6–10</x:v>
      </x:c>
    </x:row>
    <x:row r="18" ht="58" customHeight="1">
      <x:c r="A18" s="304" t="str">
        <x:v>R17</x:v>
      </x:c>
      <x:c r="B18" s="304" t="str">
        <x:v>Power measurement meaning</x:v>
      </x:c>
      <x:c r="C18" s="304" t="str">
        <x:v>APPLIED WITH RESIDUAL</x:v>
      </x:c>
      <x:c r="D18" s="304" t="str">
        <x:v>0.3.5</x:v>
      </x:c>
      <x:c r="E18" s="304" t="str">
        <x:v>Subject/property/unit/nil guidance and separate batteryActualVoltage conversion example.</x:v>
      </x:c>
      <x:c r="F18" s="304" t="str">
        <x:v>Not a complete battery model; original generic supply is not reclassified.</x:v>
      </x:c>
      <x:c r="G18" s="304" t="str">
        <x:v>S02–S04; S09; S15; S121–S123</x:v>
      </x:c>
      <x:c r="H18" s="304" t="str">
        <x:v>MPSS v0.3.5 R17; auxiliary files 31–33</x:v>
      </x:c>
    </x:row>
    <x:row r="19" ht="58" customHeight="1">
      <x:c r="A19" s="304" t="str">
        <x:v>R18</x:v>
      </x:c>
      <x:c r="B19" s="304" t="str">
        <x:v>Lifecycle events</x:v>
      </x:c>
      <x:c r="C19" s="304" t="str">
        <x:v>UNCHANGED BASELINE</x:v>
      </x:c>
      <x:c r="D19" s="304" t="str">
        <x:v>0.3.1 lineage</x:v>
      </x:c>
      <x:c r="E19" s="304" t="str">
        <x:v>Embedded SensorML history/Event model remains; R20 administrative example uses it.</x:v>
      </x:c>
      <x:c r="F19" s="304" t="str">
        <x:v>Optional SystemEvent service-access and coexistence policy not finalized.</x:v>
      </x:c>
      <x:c r="G19" s="304" t="str">
        <x:v>S01; S16–S18; S35; S60</x:v>
      </x:c>
      <x:c r="H19" s="304" t="str">
        <x:v>MPSS v0.3.5 R18; §5.14.2</x:v>
      </x:c>
    </x:row>
    <x:row r="20" ht="58" customHeight="1">
      <x:c r="A20" s="304" t="str">
        <x:v>R19</x:v>
      </x:c>
      <x:c r="B20" s="304" t="str">
        <x:v>Scoped responsibility</x:v>
      </x:c>
      <x:c r="C20" s="304" t="str">
        <x:v>UNCHANGED BASELINE</x:v>
      </x:c>
      <x:c r="D20" s="304" t="str">
        <x:v>0.3.1 lineage</x:v>
      </x:c>
      <x:c r="E20" s="304" t="str">
        <x:v>Native scoped contacts and authored role definitions retained.</x:v>
      </x:c>
      <x:c r="F20" s="304" t="str">
        <x:v>Role vocabulary and organizational specializations not fully selected.</x:v>
      </x:c>
      <x:c r="G20" s="304" t="str">
        <x:v>S01; S18; S35</x:v>
      </x:c>
      <x:c r="H20" s="304" t="str">
        <x:v>MPSS v0.3.5 R19</x:v>
      </x:c>
    </x:row>
    <x:row r="21" ht="58" customHeight="1">
      <x:c r="A21" s="304" t="str">
        <x:v>R20</x:v>
      </x:c>
      <x:c r="B21" s="304" t="str">
        <x:v>Condition evidence versus administration</x:v>
      </x:c>
      <x:c r="C21" s="304" t="str">
        <x:v>APPLIED</x:v>
      </x:c>
      <x:c r="D21" s="304" t="str">
        <x:v>0.3.2</x:v>
      </x:c>
      <x:c r="E21" s="304" t="str">
        <x:v>Observation admission clarified; fictional administrative review moved to an existing history Event.</x:v>
      </x:c>
      <x:c r="F21" s="304" t="str">
        <x:v>No universal Assessment class or new event API introduced.</x:v>
      </x:c>
      <x:c r="G21" s="304" t="str">
        <x:v>S01–S04; S97</x:v>
      </x:c>
      <x:c r="H21" s="304" t="str">
        <x:v>MPSS v0.3.5 R20; v0.3.2 change record</x:v>
      </x:c>
    </x:row>
  </x:sheetData>
  <x:pageMargins left="0.7" right="0.7" top="0.75" bottom="0.75" header="0.3" footer="0.3"/>
  <x:tableParts count="1">
    <x:tablePart xmlns:r="http://schemas.openxmlformats.org/officeDocument/2006/relationships" r:id="Rbb912c47799643a2"/>
  </x:tableParts>
</x:worksheet>
</file>

<file path=xl/worksheets/sheet2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8" hidden="0" customWidth="1"/>
    <x:col min="3" max="3" width="30" hidden="0" customWidth="1"/>
    <x:col min="4" max="4" width="30" hidden="0" customWidth="1"/>
    <x:col min="5" max="5" width="36" hidden="0" customWidth="1"/>
    <x:col min="6" max="6" width="20" hidden="0" customWidth="1"/>
    <x:col min="7" max="7" width="35" hidden="0" customWidth="1"/>
    <x:col min="8" max="8" width="45" hidden="0" customWidth="1"/>
    <x:col min="9" max="9" width="35" hidden="0" customWidth="1"/>
  </x:cols>
  <x:sheetData>
    <x:row r="1" ht="38" customHeight="1">
      <x:c r="A1" s="302" t="str">
        <x:v>ID</x:v>
      </x:c>
      <x:c r="B1" s="302" t="str">
        <x:v>From</x:v>
      </x:c>
      <x:c r="C1" s="302" t="str">
        <x:v>To / relationship target</x:v>
      </x:c>
      <x:c r="D1" s="302" t="str">
        <x:v>Evidence type</x:v>
      </x:c>
      <x:c r="E1" s="302" t="str">
        <x:v>Supported relationship</x:v>
      </x:c>
      <x:c r="F1" s="302" t="str">
        <x:v>Source IDs</x:v>
      </x:c>
      <x:c r="G1" s="302" t="str">
        <x:v>Exact locator</x:v>
      </x:c>
      <x:c r="H1" s="302" t="str">
        <x:v>What is NOT implied</x:v>
      </x:c>
      <x:c r="I1" s="302" t="str">
        <x:v>Verification depth</x:v>
      </x:c>
    </x:row>
    <x:row r="2" ht="58" customHeight="1">
      <x:c r="A2" s="304" t="str">
        <x:v>L01</x:v>
      </x:c>
      <x:c r="B2" s="304" t="str">
        <x:v>OGC SWE / O&amp;M and SSNX</x:v>
      </x:c>
      <x:c r="C2" s="304" t="str">
        <x:v>W3C/OGC SOSA/SSN</x:v>
      </x:c>
      <x:c r="D2" s="304" t="str">
        <x:v>EXPLICIT AUTHOR STATEMENT</x:v>
      </x:c>
      <x:c r="E2" s="304" t="str">
        <x:v>Historical development lineage.</x:v>
      </x:c>
      <x:c r="F2" s="304" t="str">
        <x:v>S13; S99</x:v>
      </x:c>
      <x:c r="G2" s="304" t="str">
        <x:v>S99 Annex E.1–E.3</x:v>
      </x:c>
      <x:c r="H2" s="304" t="str">
        <x:v>Not a native donor-to-MERLIN conformance chain.</x:v>
      </x:c>
      <x:c r="I2" s="304" t="str">
        <x:v>Pinned draft available; lineage also recorded in PITON v4.4</x:v>
      </x:c>
    </x:row>
    <x:row r="3" ht="58" customHeight="1">
      <x:c r="A3" s="304" t="str">
        <x:v>L02</x:v>
      </x:c>
      <x:c r="B3" s="304" t="str">
        <x:v>W3C/OGC SOSA/SSN</x:v>
      </x:c>
      <x:c r="C3" s="304" t="str">
        <x:v>OGC CSAPI</x:v>
      </x:c>
      <x:c r="D3" s="304" t="str">
        <x:v>EXPLICIT CONCEPTUAL REUSE</x:v>
      </x:c>
      <x:c r="E3" s="304" t="str">
        <x:v>CSAPI resource-model conceptual basis.</x:v>
      </x:c>
      <x:c r="F3" s="304" t="str">
        <x:v>S03–S04; S99</x:v>
      </x:c>
      <x:c r="G3" s="304" t="str">
        <x:v>S99 §7.3.1 Tables 14–15</x:v>
      </x:c>
      <x:c r="H3" s="304" t="str">
        <x:v>API correspondences are not formal OWL equivalence or automatic full conformance.</x:v>
      </x:c>
      <x:c r="I3" s="304" t="str">
        <x:v>Pinned draft rechecked 17 Oct; original foundation study retained</x:v>
      </x:c>
    </x:row>
    <x:row r="4" ht="58" customHeight="1">
      <x:c r="A4" s="304" t="str">
        <x:v>L03</x:v>
      </x:c>
      <x:c r="B4" s="304" t="str">
        <x:v>OGC OMS 3.0</x:v>
      </x:c>
      <x:c r="C4" s="304" t="str">
        <x:v>SSN OMS extension</x:v>
      </x:c>
      <x:c r="D4" s="304" t="str">
        <x:v>PUBLISHED DRAFT ALIGNMENT</x:v>
      </x:c>
      <x:c r="E4" s="304" t="str">
        <x:v>Named extension aligns concept and requirement roles.</x:v>
      </x:c>
      <x:c r="F4" s="304" t="str">
        <x:v>S97; S99</x:v>
      </x:c>
      <x:c r="G4" s="304" t="str">
        <x:v>S99 §6.1; S97 §§8–10</x:v>
      </x:c>
      <x:c r="H4" s="304" t="str">
        <x:v>Approved OMS differs from unapproved SSN extension.</x:v>
      </x:c>
      <x:c r="I4" s="304" t="str">
        <x:v>Completed OMS study plus pinned draft</x:v>
      </x:c>
    </x:row>
    <x:row r="5" ht="58" customHeight="1">
      <x:c r="A5" s="304" t="str">
        <x:v>L04</x:v>
      </x:c>
      <x:c r="B5" s="304" t="str">
        <x:v>SAREF / SensorThings / CSAPI</x:v>
      </x:c>
      <x:c r="C5" s="304" t="str">
        <x:v>New SSN edition</x:v>
      </x:c>
      <x:c r="D5" s="304" t="str">
        <x:v>EXPLICIT AUTHOR STATEMENT</x:v>
      </x:c>
      <x:c r="E5" s="304" t="str">
        <x:v>Acknowledged contribution to actuation ideas.</x:v>
      </x:c>
      <x:c r="F5" s="304" t="str">
        <x:v>S12; S03–S04; S99</x:v>
      </x:c>
      <x:c r="G5" s="304" t="str">
        <x:v>S99 Annex E.4</x:v>
      </x:c>
      <x:c r="H5" s="304" t="str">
        <x:v>No claim that every actuation term is borrowed or that donor runtimes are identical.</x:v>
      </x:c>
      <x:c r="I5" s="304" t="str">
        <x:v>Pinned draft available; PITON lineage record retained</x:v>
      </x:c>
    </x:row>
    <x:row r="6" ht="58" customHeight="1">
      <x:c r="A6" s="304" t="str">
        <x:v>L05</x:v>
      </x:c>
      <x:c r="B6" s="304" t="str">
        <x:v>SOSA/SSN</x:v>
      </x:c>
      <x:c r="C6" s="304" t="str">
        <x:v>SAREF / PROV / IDO / OBOE / BFO / DOLCE</x:v>
      </x:c>
      <x:c r="D6" s="304" t="str">
        <x:v>PUBLISHED DRAFT ALIGNMENT</x:v>
      </x:c>
      <x:c r="E6" s="304" t="str">
        <x:v>Module-specific semantic correspondences.</x:v>
      </x:c>
      <x:c r="F6" s="304" t="str">
        <x:v>S99</x:v>
      </x:c>
      <x:c r="G6" s="304" t="str">
        <x:v>S99 §§7.1–7.2</x:v>
      </x:c>
      <x:c r="H6" s="304" t="str">
        <x:v>Ontology alignments do not establish native SOSA/ISA/OSUS/SAPIENT mappings.</x:v>
      </x:c>
      <x:c r="I6" s="304" t="str">
        <x:v>Selected alignment scope documented; no new ontology implementation</x:v>
      </x:c>
    </x:row>
    <x:row r="7" ht="58" customHeight="1">
      <x:c r="A7" s="304" t="str">
        <x:v>L06</x:v>
      </x:c>
      <x:c r="B7" s="304" t="str">
        <x:v>SAPIENT / OSUS / OGC SWE</x:v>
      </x:c>
      <x:c r="C7" s="304" t="str">
        <x:v>Joint experimentation</x:v>
      </x:c>
      <x:c r="D7" s="304" t="str">
        <x:v>REPORTED COEXISTENCE</x:v>
      </x:c>
      <x:c r="E7" s="304" t="str">
        <x:v>Historical combined-use account.</x:v>
      </x:c>
      <x:c r="F7" s="304" t="str">
        <x:v>S51</x:v>
      </x:c>
      <x:c r="G7" s="304" t="str">
        <x:v>Historical S51 annotation, 2024 guidance inspection</x:v>
      </x:c>
      <x:c r="H7" s="304" t="str">
        <x:v>Not normative dependence, mutual certification or a complete mapping. Current S124 page lacks this historical wording.</x:v>
      </x:c>
      <x:c r="I7" s="304" t="str">
        <x:v>Inherited dated source evidence; not newly verified from current page</x:v>
      </x:c>
    </x:row>
    <x:row r="8" ht="58" customHeight="1">
      <x:c r="A8" s="304" t="str">
        <x:v>L07</x:v>
      </x:c>
      <x:c r="B8" s="304" t="str">
        <x:v>IEEE 1451 smart transducers</x:v>
      </x:c>
      <x:c r="C8" s="304" t="str">
        <x:v>OGC SWE services</x:v>
      </x:c>
      <x:c r="D8" s="304" t="str">
        <x:v>DEMONSTRATED HISTORICAL ADAPTER</x:v>
      </x:c>
      <x:c r="E8" s="304" t="str">
        <x:v>NIST-led bridge precedent.</x:v>
      </x:c>
      <x:c r="F8" s="304" t="str">
        <x:v>S48</x:v>
      </x:c>
      <x:c r="G8" s="304" t="str">
        <x:v>Song and Lee 2009; IEEE Pass 1A §5</x:v>
      </x:c>
      <x:c r="H8" s="304" t="str">
        <x:v>Not a current IEEE 2024-to-CSAPI implementation result.</x:v>
      </x:c>
      <x:c r="I8" s="304" t="str">
        <x:v>Completed IEEE/landscape research; no new experiment</x:v>
      </x:c>
    </x:row>
    <x:row r="9" ht="58" customHeight="1">
      <x:c r="A9" s="304" t="str">
        <x:v>L08</x:v>
      </x:c>
      <x:c r="B9" s="304" t="str">
        <x:v>IEEE 1451.0</x:v>
      </x:c>
      <x:c r="C9" s="304" t="str">
        <x:v>Web of Things ontology/Thing Description</x:v>
      </x:c>
      <x:c r="D9" s="304" t="str">
        <x:v>PUBLISHED RESEARCH MAPPING</x:v>
      </x:c>
      <x:c r="E9" s="304" t="str">
        <x:v>Services and TEDS projected into a Web representation.</x:v>
      </x:c>
      <x:c r="F9" s="304" t="str">
        <x:v>S83</x:v>
      </x:c>
      <x:c r="G9" s="304" t="str">
        <x:v>IEEE Pass 1A §6; NIST-led WoT paper</x:v>
      </x:c>
      <x:c r="H9" s="304" t="str">
        <x:v>Research precedent does not supply a normative MERLIN binding.</x:v>
      </x:c>
      <x:c r="I9" s="304" t="str">
        <x:v>Completed IEEE study; exact IEEE core requirements remain gated</x:v>
      </x:c>
    </x:row>
    <x:row r="10" ht="58" customHeight="1">
      <x:c r="A10" s="304" t="str">
        <x:v>L09</x:v>
      </x:c>
      <x:c r="B10" s="304" t="str">
        <x:v>SOSA DSDM and IDL</x:v>
      </x:c>
      <x:c r="C10" s="304" t="str">
        <x:v>C239 Edition 1.1</x:v>
      </x:c>
      <x:c r="D10" s="304" t="str">
        <x:v>DIRECT NORMATIVE REFERENCE</x:v>
      </x:c>
      <x:c r="E10" s="304" t="str">
        <x:v>Appendix B.1 names the older-labeled model companions.</x:v>
      </x:c>
      <x:c r="F10" s="304" t="str">
        <x:v>S114–S115</x:v>
      </x:c>
      <x:c r="G10" s="304" t="str">
        <x:v>C239 Appendix B.1; source authority inventory</x:v>
      </x:c>
      <x:c r="H10" s="304" t="str">
        <x:v>Companion Edition 1.0 is not a C239 downgrade or separate DISR edition match.</x:v>
      </x:c>
      <x:c r="I10" s="304" t="str">
        <x:v>Recorded primary evidence in completed source study</x:v>
      </x:c>
    </x:row>
    <x:row r="11" ht="58" customHeight="1">
      <x:c r="A11" s="304" t="str">
        <x:v>L10</x:v>
      </x:c>
      <x:c r="B11" s="304" t="str">
        <x:v>Six management API definitions</x:v>
      </x:c>
      <x:c r="C11" s="304" t="str">
        <x:v>C239 Edition 1.1</x:v>
      </x:c>
      <x:c r="D11" s="304" t="str">
        <x:v>DIRECT NORMATIVE REFERENCE</x:v>
      </x:c>
      <x:c r="E11" s="304" t="str">
        <x:v>Appendix B.2–B.7 names the API companions.</x:v>
      </x:c>
      <x:c r="F11" s="304" t="str">
        <x:v>S114; S116</x:v>
      </x:c>
      <x:c r="G11" s="304" t="str">
        <x:v>C239 Appendix B.2–B.7; Rule 6.2.1-2</x:v>
      </x:c>
      <x:c r="H11" s="304" t="str">
        <x:v>Native management API is not CSAPI; OAS document/spec versions distinguished.</x:v>
      </x:c>
      <x:c r="I11" s="304" t="str">
        <x:v>Recorded primary evidence in completed source study</x:v>
      </x:c>
    </x:row>
    <x:row r="12" ht="58" customHeight="1">
      <x:c r="A12" s="304" t="str">
        <x:v>L11</x:v>
      </x:c>
      <x:c r="B12" s="304" t="str">
        <x:v>FACE3.1 / UDDL-based model representation</x:v>
      </x:c>
      <x:c r="C12" s="304" t="str">
        <x:v>SOSA S251 snapshot</x:v>
      </x:c>
      <x:c r="D12" s="304" t="str">
        <x:v>DOCUMENTED DRAFT MODEL USE</x:v>
      </x:c>
      <x:c r="E12" s="304" t="str">
        <x:v>Source study identifies model and generation pathway.</x:v>
      </x:c>
      <x:c r="F12" s="304" t="str">
        <x:v>S117</x:v>
      </x:c>
      <x:c r="G12" s="304" t="str">
        <x:v>S251 §§5.8.1–5.8.5; bundle FACE3.1 artifact</x:v>
      </x:c>
      <x:c r="H12" s="304" t="str">
        <x:v>Not adopted C239 inheritance, not FACE3.0 DISR equivalence, not executed generation.</x:v>
      </x:c>
      <x:c r="I12" s="304" t="str">
        <x:v>Recorded primary evidence in completed source study</x:v>
      </x:c>
    </x:row>
    <x:row r="13" ht="58" customHeight="1">
      <x:c r="A13" s="304" t="str">
        <x:v>L12</x:v>
      </x:c>
      <x:c r="B13" s="304" t="str">
        <x:v>VICTORY 1.11 material</x:v>
      </x:c>
      <x:c r="C13" s="304" t="str">
        <x:v>SOSA S251 snapshot appendix</x:v>
      </x:c>
      <x:c r="D13" s="304" t="str">
        <x:v>DOCUMENTED DRAFT COMPANION</x:v>
      </x:c>
      <x:c r="E13" s="304" t="str">
        <x:v>Version-specific appendix present.</x:v>
      </x:c>
      <x:c r="F13" s="304" t="str">
        <x:v>S117</x:v>
      </x:c>
      <x:c r="G13" s="304" t="str">
        <x:v>SOSA source/QA inventory and §6 comparison</x:v>
      </x:c>
      <x:c r="H13" s="304" t="str">
        <x:v>Presence alone is not a proven normative dependency; DISR shortlist identifies VICTORY1.9.</x:v>
      </x:c>
      <x:c r="I13" s="304" t="str">
        <x:v>Recorded primary evidence in completed source study</x:v>
      </x:c>
    </x:row>
    <x:row r="14" ht="58" customHeight="1">
      <x:c r="A14" s="304" t="str">
        <x:v>L13</x:v>
      </x:c>
      <x:c r="B14" s="304" t="str">
        <x:v>SAPIENT v2 declarations</x:v>
      </x:c>
      <x:c r="C14" s="304" t="str">
        <x:v>Dstl test harness / Apex</x:v>
      </x:c>
      <x:c r="D14" s="304" t="str">
        <x:v>IMPLEMENTATION-SOURCE RELATION</x:v>
      </x:c>
      <x:c r="E14" s="304" t="str">
        <x:v>Version-pinned tools address the same native interface.</x:v>
      </x:c>
      <x:c r="F14" s="304" t="str">
        <x:v>S110–S113</x:v>
      </x:c>
      <x:c r="G14" s="304" t="str">
        <x:v>SAPIENT assessment §§2,11; Sources and Variances sheets</x:v>
      </x:c>
      <x:c r="H14" s="304" t="str">
        <x:v>No execution or native compatibility result; printed/protobuf discrepancies retained.</x:v>
      </x:c>
      <x:c r="I14" s="304" t="str">
        <x:v>Recorded primary evidence in completed source study</x:v>
      </x:c>
    </x:row>
    <x:row r="15" ht="58" customHeight="1">
      <x:c r="A15" s="304" t="str">
        <x:v>L14</x:v>
      </x:c>
      <x:c r="B15" s="304" t="str">
        <x:v>SensorML descriptive encoding</x:v>
      </x:c>
      <x:c r="C15" s="304" t="str">
        <x:v>CSAPI Part 1</x:v>
      </x:c>
      <x:c r="D15" s="304" t="str">
        <x:v>SELECTED NORMATIVE ENCODING USE</x:v>
      </x:c>
      <x:c r="E15" s="304" t="str">
        <x:v>Existing OGC representation route.</x:v>
      </x:c>
      <x:c r="F15" s="304" t="str">
        <x:v>S01; S03; S59</x:v>
      </x:c>
      <x:c r="G15" s="304" t="str">
        <x:v>OGC 23-001 §19.2; original conformance register</x:v>
      </x:c>
      <x:c r="H15" s="304" t="str">
        <x:v>Does not make every optional encoding mandatory or certify MPSS.</x:v>
      </x:c>
      <x:c r="I15" s="304" t="str">
        <x:v>Recorded primary evidence in completed source study</x:v>
      </x:c>
    </x:row>
    <x:row r="16" ht="58" customHeight="1">
      <x:c r="A16" s="304" t="str">
        <x:v>L15</x:v>
      </x:c>
      <x:c r="B16" s="304" t="str">
        <x:v>SWE Common typed components</x:v>
      </x:c>
      <x:c r="C16" s="304" t="str">
        <x:v>SensorML / CSAPI dynamic schemas</x:v>
      </x:c>
      <x:c r="D16" s="304" t="str">
        <x:v>SELECTED NORMATIVE ENCODING USE</x:v>
      </x:c>
      <x:c r="E16" s="304" t="str">
        <x:v>Common native description and value structures.</x:v>
      </x:c>
      <x:c r="F16" s="304" t="str">
        <x:v>S01–S02; S04; S59; S122–S123</x:v>
      </x:c>
      <x:c r="G16" s="304" t="str">
        <x:v>OGC parent standards; v0.3.4/v0.3.5 source notes</x:v>
      </x:c>
      <x:c r="H16" s="304" t="str">
        <x:v>Shared encoding does not create equal domain meaning without a faithful binding.</x:v>
      </x:c>
      <x:c r="I16" s="304" t="str">
        <x:v>Recorded primary evidence in completed source study</x:v>
      </x:c>
    </x:row>
    <x:row r="17" ht="58" customHeight="1">
      <x:c r="A17" s="304" t="str">
        <x:v>L16</x:v>
      </x:c>
      <x:c r="B17" s="304" t="str">
        <x:v>ISA / Open Group SOSA / OSUS / SAPIENT</x:v>
      </x:c>
      <x:c r="C17" s="304" t="str">
        <x:v>One another</x:v>
      </x:c>
      <x:c r="D17" s="304" t="str">
        <x:v>NOT ESTABLISHED AS UNIVERSAL MAPPING</x:v>
      </x:c>
      <x:c r="E17" s="304" t="str">
        <x:v>The consolidated sources do not establish one complete mutual model.</x:v>
      </x:c>
      <x:c r="F17" s="304" t="str">
        <x:v>S47; S85–S95; S110–S117</x:v>
      </x:c>
      <x:c r="G17" s="304" t="str">
        <x:v>Completed donor studies and U-INT-01 plan</x:v>
      </x:c>
      <x:c r="H17" s="304" t="str">
        <x:v>Do not infer derivation from similarity or turn the SSN alignment table into a donor conformance certificate.</x:v>
      </x:c>
      <x:c r="I17" s="304" t="str">
        <x:v>Explicit negative boundary, not evidence that all pairwise relationships are absent</x:v>
      </x:c>
    </x:row>
    <x:row r="18" ht="135" customHeight="1">
      <x:c r="A18" s="223" t="str">
        <x:v>OL01</x:v>
      </x:c>
      <x:c r="B18" s="223" t="str">
        <x:v>S129</x:v>
      </x:c>
      <x:c r="C18" s="223" t="str">
        <x:v>S128</x:v>
      </x:c>
      <x:c r="D18" s="223" t="str">
        <x:v>Direct source statement</x:v>
      </x:c>
      <x:c r="E18" s="223" t="str">
        <x:v>Explicit normative encoding relationship</x:v>
      </x:c>
      <x:c r="F18" s="223" t="str">
        <x:v>S129; S128</x:v>
      </x:c>
      <x:c r="G18" s="223" t="str">
        <x:v>PROV-O encodes PROV-DM in OWL/RDF; PROV-O §§1,3–4.</x:v>
      </x:c>
      <x:c r="H18" s="223" t="str">
        <x:v>Does not make arbitrary JSON keys native PROV.</x:v>
      </x:c>
      <x:c r="I18" s="223" t="str">
        <x:v>Selected clauses / source paths; not runtime cross-vendor proof</x:v>
      </x:c>
    </x:row>
    <x:row r="19" ht="135" customHeight="1">
      <x:c r="A19" s="223" t="str">
        <x:v>OL02</x:v>
      </x:c>
      <x:c r="B19" s="223" t="str">
        <x:v>S130</x:v>
      </x:c>
      <x:c r="C19" s="223" t="str">
        <x:v>S128</x:v>
      </x:c>
      <x:c r="D19" s="223" t="str">
        <x:v>Direct source statement</x:v>
      </x:c>
      <x:c r="E19" s="223" t="str">
        <x:v>Validity dependency</x:v>
      </x:c>
      <x:c r="F19" s="223" t="str">
        <x:v>S130; S128</x:v>
      </x:c>
      <x:c r="G19" s="223" t="str">
        <x:v>PROV constraints define validity beyond representation syntax.</x:v>
      </x:c>
      <x:c r="H19" s="223" t="str">
        <x:v>Local tests are not the complete constraint engine.</x:v>
      </x:c>
      <x:c r="I19" s="223" t="str">
        <x:v>Selected clauses / source paths; not runtime cross-vendor proof</x:v>
      </x:c>
    </x:row>
    <x:row r="20" ht="135" customHeight="1">
      <x:c r="A20" s="223" t="str">
        <x:v>OL03</x:v>
      </x:c>
      <x:c r="B20" s="223" t="str">
        <x:v>S132</x:v>
      </x:c>
      <x:c r="C20" s="223" t="str">
        <x:v>S128/S129</x:v>
      </x:c>
      <x:c r="D20" s="223" t="str">
        <x:v>Formal alignment in Working Draft</x:v>
      </x:c>
      <x:c r="E20" s="223" t="str">
        <x:v>Dated formal draft alignment</x:v>
      </x:c>
      <x:c r="F20" s="223" t="str">
        <x:v>S132; S128/S129</x:v>
      </x:c>
      <x:c r="G20" s="223" t="str">
        <x:v>SSN2026-10-21 §7.1.4 aligns executions/Deployment to activities and Procedure to Plan through qualified association.</x:v>
      </x:c>
      <x:c r="H20" s="223" t="str">
        <x:v>Not an adopted replacement for the approved baseline.</x:v>
      </x:c>
      <x:c r="I20" s="223" t="str">
        <x:v>Selected clauses / source paths; not runtime cross-vendor proof</x:v>
      </x:c>
    </x:row>
    <x:row r="21" ht="135" customHeight="1">
      <x:c r="A21" s="223" t="str">
        <x:v>OL04</x:v>
      </x:c>
      <x:c r="B21" s="223" t="str">
        <x:v>S132</x:v>
      </x:c>
      <x:c r="C21" s="223" t="str">
        <x:v>S97</x:v>
      </x:c>
      <x:c r="D21" s="223" t="str">
        <x:v>Direct source statement</x:v>
      </x:c>
      <x:c r="E21" s="223" t="str">
        <x:v>Dated draft extension/alignment</x:v>
      </x:c>
      <x:c r="F21" s="223" t="str">
        <x:v>S132; S97</x:v>
      </x:c>
      <x:c r="G21" s="223" t="str">
        <x:v>SSN2026-10-21 §6.1 documents OMS extension and alignment.</x:v>
      </x:c>
      <x:c r="H21" s="223" t="str">
        <x:v>No arbitrary equivalence of all collection semantics.</x:v>
      </x:c>
      <x:c r="I21" s="223" t="str">
        <x:v>Selected clauses / source paths; not runtime cross-vendor proof</x:v>
      </x:c>
    </x:row>
    <x:row r="22" ht="135" customHeight="1">
      <x:c r="A22" s="223" t="str">
        <x:v>OL05</x:v>
      </x:c>
      <x:c r="B22" s="223" t="str">
        <x:v>S139</x:v>
      </x:c>
      <x:c r="C22" s="223" t="str">
        <x:v>S125/S126</x:v>
      </x:c>
      <x:c r="D22" s="223" t="str">
        <x:v>Direct repository evidence</x:v>
      </x:c>
      <x:c r="E22" s="223" t="str">
        <x:v>Implementation bundles historical donor artifacts</x:v>
      </x:c>
      <x:c r="F22" s="223" t="str">
        <x:v>S139; S125/S126</x:v>
      </x:c>
      <x:c r="G22" s="223" t="str">
        <x:v>Pinned OSCAR module includes N42 2011 namespace examples and schema/Schematron locations.</x:v>
      </x:c>
      <x:c r="H22" s="223" t="str">
        <x:v>No claim of byte equality with NIST downloads or native2020 conformance.</x:v>
      </x:c>
      <x:c r="I22" s="223" t="str">
        <x:v>Selected clauses / source paths; not runtime cross-vendor proof</x:v>
      </x:c>
    </x:row>
    <x:row r="23" ht="135" customHeight="1">
      <x:c r="A23" s="223" t="str">
        <x:v>OL06</x:v>
      </x:c>
      <x:c r="B23" s="223" t="str">
        <x:v>S137</x:v>
      </x:c>
      <x:c r="C23" s="223" t="str">
        <x:v>S127</x:v>
      </x:c>
      <x:c r="D23" s="223" t="str">
        <x:v>Official relationship overview</x:v>
      </x:c>
      <x:c r="E23" s="223" t="str">
        <x:v>Standards-family relationship</x:v>
      </x:c>
      <x:c r="F23" s="223" t="str">
        <x:v>S137; S127</x:v>
      </x:c>
      <x:c r="G23" s="223" t="str">
        <x:v>Official NIST IEC overview connects IEC62755 with radiation N42 exchange work.</x:v>
      </x:c>
      <x:c r="H23" s="223" t="str">
        <x:v>Full cross-edition equivalence was not verified.</x:v>
      </x:c>
      <x:c r="I23" s="223" t="str">
        <x:v>Selected clauses / source paths; not runtime cross-vendor proof</x:v>
      </x:c>
    </x:row>
  </x:sheetData>
  <x:pageMargins left="0.7" right="0.7" top="0.75" bottom="0.75" header="0.3" footer="0.3"/>
  <x:tableParts count="1">
    <x:tablePart xmlns:r="http://schemas.openxmlformats.org/officeDocument/2006/relationships" r:id="R79403ef3daa74981"/>
  </x:tableParts>
</x:worksheet>
</file>

<file path=xl/worksheets/sheet2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7" hidden="0" customWidth="1"/>
    <x:col min="2" max="2" width="22" hidden="0" customWidth="1"/>
    <x:col min="3" max="3" width="32" hidden="0" customWidth="1"/>
    <x:col min="4" max="4" width="45" hidden="0" customWidth="1"/>
    <x:col min="5" max="5" width="45" hidden="0" customWidth="1"/>
    <x:col min="6" max="6" width="18" hidden="0" customWidth="1"/>
    <x:col min="7" max="7" width="32" hidden="0" customWidth="1"/>
    <x:col min="8" max="8" width="40" hidden="0" customWidth="1"/>
  </x:cols>
  <x:sheetData>
    <x:row r="1" ht="38" customHeight="1">
      <x:c r="A1" s="302" t="str">
        <x:v>Donor / edition</x:v>
      </x:c>
      <x:c r="B1" s="302" t="str">
        <x:v>Source IDs</x:v>
      </x:c>
      <x:c r="C1" s="302" t="str">
        <x:v>Evidence level</x:v>
      </x:c>
      <x:c r="D1" s="302" t="str">
        <x:v>What the profile currently handles</x:v>
      </x:c>
      <x:c r="E1" s="302" t="str">
        <x:v>Remaining mapping gap</x:v>
      </x:c>
      <x:c r="F1" s="302" t="str">
        <x:v>Gap IDs</x:v>
      </x:c>
      <x:c r="G1" s="302" t="str">
        <x:v>Claim boundary</x:v>
      </x:c>
      <x:c r="H1" s="302" t="str">
        <x:v>Evidence locator</x:v>
      </x:c>
    </x:row>
    <x:row r="2" ht="58" customHeight="1">
      <x:c r="A2" s="304" t="str">
        <x:v>SAPIENT v2</x:v>
      </x:c>
      <x:c r="B2" s="304" t="str">
        <x:v>S110–S113</x:v>
      </x:c>
      <x:c r="C2" s="304" t="str">
        <x:v>Partial semantic mapping / synthetic examples</x:v>
      </x:c>
      <x:c r="D2" s="304" t="str">
        <x:v>Identity, mode/product and command distinctions; R11 preservation guidance.</x:v>
      </x:c>
      <x:c r="E2" s="304" t="str">
        <x:v>No complete native record-set mapping or common lineage navigation.</x:v>
      </x:c>
      <x:c r="F2" s="304" t="str">
        <x:v>IG01; IG02; IG09</x:v>
      </x:c>
      <x:c r="G2" s="304" t="str">
        <x:v>No live native adapter</x:v>
      </x:c>
      <x:c r="H2" s="304" t="str">
        <x:v>SAPIENT v2 crosswalk; MPSS v0.3.3–v0.3.5</x:v>
      </x:c>
    </x:row>
    <x:row r="3" ht="58" customHeight="1">
      <x:c r="A3" s="304" t="str">
        <x:v>The Open Group SOSA C239</x:v>
      </x:c>
      <x:c r="B3" s="304" t="str">
        <x:v>S114–S116</x:v>
      </x:c>
      <x:c r="C3" s="304" t="str">
        <x:v>Clause crosswalk / conditional integration</x:v>
      </x:c>
      <x:c r="D3" s="304" t="str">
        <x:v>Physical/logical and native management meanings compared.</x:v>
      </x:c>
      <x:c r="E3" s="304" t="str">
        <x:v>No representative source-provider record set or source-complete adapter mapping.</x:v>
      </x:c>
      <x:c r="F3" s="304" t="str">
        <x:v>IG01; IG03; IG08</x:v>
      </x:c>
      <x:c r="G3" s="304" t="str">
        <x:v>No SOSA conformance or certification</x:v>
      </x:c>
      <x:c r="H3" s="304" t="str">
        <x:v>SOSA technical crosswalk and handback</x:v>
      </x:c>
    </x:row>
    <x:row r="4" ht="58" customHeight="1">
      <x:c r="A4" s="304" t="str">
        <x:v>Army ISA 6.0</x:v>
      </x:c>
      <x:c r="B4" s="304" t="str">
        <x:v>S85–S95</x:v>
      </x:c>
      <x:c r="C4" s="304" t="str">
        <x:v>Semantic rules partly applied</x:v>
      </x:c>
      <x:c r="D4" s="304" t="str">
        <x:v>Assignment/effect and mediation distinctions; source-specific observation meanings retained.</x:v>
      </x:c>
      <x:c r="E4" s="304" t="str">
        <x:v>Complete native observation/command mapping and separate maturity policy not completed.</x:v>
      </x:c>
      <x:c r="F4" s="304" t="str">
        <x:v>IG01; IG02; IG07</x:v>
      </x:c>
      <x:c r="G4" s="304" t="str">
        <x:v>No native ISA runtime</x:v>
      </x:c>
      <x:c r="H4" s="304" t="str">
        <x:v>ISA Phase2 memo/crosswalk; MPSS increments</x:v>
      </x:c>
    </x:row>
    <x:row r="5" ht="58" customHeight="1">
      <x:c r="A5" s="304" t="str">
        <x:v>OSUS-R pinned subset</x:v>
      </x:c>
      <x:c r="B5" s="304" t="str">
        <x:v>S47</x:v>
      </x:c>
      <x:c r="C5" s="304" t="str">
        <x:v>Implementation-subset precedent</x:v>
      </x:c>
      <x:c r="D5" s="304" t="str">
        <x:v>Asset/capability/command organization informs existing function model.</x:v>
      </x:c>
      <x:c r="E5" s="304" t="str">
        <x:v>No full standard or complete asset instance-to-MPSS fidelity case established.</x:v>
      </x:c>
      <x:c r="F5" s="304" t="str">
        <x:v>IG01</x:v>
      </x:c>
      <x:c r="G5" s="304" t="str">
        <x:v>No complete OSUS conformance claim</x:v>
      </x:c>
      <x:c r="H5" s="304" t="str">
        <x:v>S47 pinned source annotation; MPSS R04/R09</x:v>
      </x:c>
    </x:row>
    <x:row r="6" ht="58" customHeight="1">
      <x:c r="A6" s="304" t="str">
        <x:v>IEEE 1451/TEDS</x:v>
      </x:c>
      <x:c r="B6" s="304" t="str">
        <x:v>S71–S84</x:v>
      </x:c>
      <x:c r="C6" s="304" t="str">
        <x:v>Public-source reconstruction only</x:v>
      </x:c>
      <x:c r="D6" s="304" t="str">
        <x:v>Potential quantitative channel vocabulary and mapping precedents.</x:v>
      </x:c>
      <x:c r="E6" s="304" t="str">
        <x:v>Exact normative constraints and selected edition delta.</x:v>
      </x:c>
      <x:c r="F6" s="304" t="str">
        <x:v>IG06; IG10</x:v>
      </x:c>
      <x:c r="G6" s="304" t="str">
        <x:v>No normative IEEE dependency approval</x:v>
      </x:c>
      <x:c r="H6" s="304" t="str">
        <x:v>IEEE Pass1A</x:v>
      </x:c>
    </x:row>
    <x:row r="7" ht="58" customHeight="1">
      <x:c r="A7" s="304" t="str">
        <x:v>IETF power sources</x:v>
      </x:c>
      <x:c r="B7" s="304" t="str">
        <x:v>S09–S10; S61–S67</x:v>
      </x:c>
      <x:c r="C7" s="304" t="str">
        <x:v>Partial model use / synthetic conversion</x:v>
      </x:c>
      <x:c r="D7" s="304" t="str">
        <x:v>Typed energy relationships and one battery field/nil conversion.</x:v>
      </x:c>
      <x:c r="E7" s="304" t="str">
        <x:v>Not a full battery, power-interface, charging or service-access realization.</x:v>
      </x:c>
      <x:c r="F7" s="304" t="str">
        <x:v>IG03; IG04; IG10</x:v>
      </x:c>
      <x:c r="G7" s="304" t="str">
        <x:v>No native MIB implementation</x:v>
      </x:c>
      <x:c r="H7" s="304" t="str">
        <x:v>Power Recommendation; MPSS v0.3.2/v0.3.5</x:v>
      </x:c>
    </x:row>
    <x:row r="8" ht="135" customHeight="1">
      <x:c r="A8" s="223" t="str">
        <x:v>OSCAR pinned3.9 review sources</x:v>
      </x:c>
      <x:c r="B8" s="223" t="str">
        <x:v>S138–S140</x:v>
      </x:c>
      <x:c r="C8" s="223" t="str">
        <x:v>Code/manual contract; synthetic specimen</x:v>
      </x:c>
      <x:c r="D8" s="223" t="str">
        <x:v>Identity, products, actions, source context and whole-system subjects</x:v>
      </x:c>
      <x:c r="E8" s="223" t="str">
        <x:v>Radiation function vocabulary, common lineage and access binding</x:v>
      </x:c>
      <x:c r="F8" s="223" t="str">
        <x:v>OG01–OG08</x:v>
      </x:c>
      <x:c r="G8" s="223" t="str">
        <x:v>No runtime migration or full application recreation</x:v>
      </x:c>
      <x:c r="H8" s="223" t="str">
        <x:v>Current OSCAR Mapping/Residuals sheets</x:v>
      </x:c>
    </x:row>
  </x:sheetData>
  <x:pageMargins left="0.7" right="0.7" top="0.75" bottom="0.75" header="0.3" footer="0.3"/>
  <x:tableParts count="1">
    <x:tablePart xmlns:r="http://schemas.openxmlformats.org/officeDocument/2006/relationships" r:id="R88bff6c59ccb4b47"/>
  </x:tableParts>
</x:worksheet>
</file>

<file path=xl/worksheets/sheet2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0" hidden="0" customWidth="1"/>
    <x:col min="2" max="2" width="31" hidden="0" customWidth="1"/>
    <x:col min="3" max="3" width="30" hidden="0" customWidth="1"/>
    <x:col min="4" max="4" width="43" hidden="0" customWidth="1"/>
    <x:col min="5" max="5" width="45" hidden="0" customWidth="1"/>
    <x:col min="6" max="6" width="48" hidden="0" customWidth="1"/>
    <x:col min="7" max="7" width="44" hidden="0" customWidth="1"/>
    <x:col min="8" max="8" width="23" hidden="0" customWidth="1"/>
    <x:col min="9" max="9" width="40" hidden="0" customWidth="1"/>
  </x:cols>
  <x:sheetData>
    <x:row r="1" ht="38" customHeight="1">
      <x:c r="A1" s="302" t="str">
        <x:v>Gap ID</x:v>
      </x:c>
      <x:c r="B1" s="302" t="str">
        <x:v>Area</x:v>
      </x:c>
      <x:c r="C1" s="302" t="str">
        <x:v>Status</x:v>
      </x:c>
      <x:c r="D1" s="302" t="str">
        <x:v>Already covered</x:v>
      </x:c>
      <x:c r="E1" s="302" t="str">
        <x:v>What remains</x:v>
      </x:c>
      <x:c r="F1" s="302" t="str">
        <x:v>Proportionate next action</x:v>
      </x:c>
      <x:c r="G1" s="302" t="str">
        <x:v>Dependency boundary</x:v>
      </x:c>
      <x:c r="H1" s="302" t="str">
        <x:v>Source IDs</x:v>
      </x:c>
      <x:c r="I1" s="302" t="str">
        <x:v>Evidence locator</x:v>
      </x:c>
    </x:row>
    <x:row r="2" ht="60" customHeight="1">
      <x:c r="A2" s="304" t="str">
        <x:v>IG01</x:v>
      </x:c>
      <x:c r="B2" s="304" t="str">
        <x:v>End-to-end donor mapping coverage</x:v>
      </x:c>
      <x:c r="C2" s="304" t="str">
        <x:v>OPEN—BOUNDED DESIGN EVIDENCE</x:v>
      </x:c>
      <x:c r="D2" s="304" t="str">
        <x:v>Crosswalks and focused synthetic cases; four applied increments.</x:v>
      </x:c>
      <x:c r="E2" s="304" t="str">
        <x:v>No source-complete native-to-MPSS-to-common-client example for each donor.</x:v>
      </x:c>
      <x:c r="F2" s="304" t="str">
        <x:v>Next recommended work: one published/native SAPIENT v2 record set; record mapped/partial/native-linked/unavailable fields without new schema by default.</x:v>
      </x:c>
      <x:c r="G2" s="304" t="str">
        <x:v>No IEEE gate for a v2 case; do not commission adapter code.</x:v>
      </x:c>
      <x:c r="H2" s="304" t="str">
        <x:v>S110–S113; S01–S04</x:v>
      </x:c>
      <x:c r="I2" s="304" t="str">
        <x:v>PITON v4.4 U-INT-01; SAPIENT memo</x:v>
      </x:c>
    </x:row>
    <x:row r="3" ht="58" customHeight="1">
      <x:c r="A3" s="304" t="str">
        <x:v>IG02</x:v>
      </x:c>
      <x:c r="B3" s="304" t="str">
        <x:v>Common-client observation lineage navigation</x:v>
      </x:c>
      <x:c r="C3" s="304" t="str">
        <x:v>OPEN—CONDITIONAL DESIGN</x:v>
      </x:c>
      <x:c r="D3" s="304" t="str">
        <x:v>R11 preserves source distinctions and native identifiers.</x:v>
      </x:c>
      <x:c r="E3" s="304" t="str">
        <x:v>Shared navigation contract for fusion versus association/tracking/correction/recall/resolution.</x:v>
      </x:c>
      <x:c r="F3" s="304" t="str">
        <x:v>Use actual source-record evidence and consumer question before one substantive binding decision.</x:v>
      </x:c>
      <x:c r="G3" s="304" t="str">
        <x:v>Native payload fidelity needed before new common fields.</x:v>
      </x:c>
      <x:c r="H3" s="304" t="str">
        <x:v>S90; S110–S111</x:v>
      </x:c>
      <x:c r="I3" s="304" t="str">
        <x:v>MPSS v0.3.5 R11; plan v1.4</x:v>
      </x:c>
    </x:row>
    <x:row r="4" ht="58" customHeight="1">
      <x:c r="A4" s="304" t="str">
        <x:v>IG03</x:v>
      </x:c>
      <x:c r="B4" s="304" t="str">
        <x:v>Full operating power specialization</x:v>
      </x:c>
      <x:c r="C4" s="304" t="str">
        <x:v>OPEN—BOUNDED DESIGN</x:v>
      </x:c>
      <x:c r="D4" s="304" t="str">
        <x:v>R16 powers/meters/aggregates; R17 units/nil/subject guidance.</x:v>
      </x:c>
      <x:c r="E4" s="304" t="str">
        <x:v>Detailed batteries, Power Interfaces, charging, conversion, qualified estimates and shared-edge placement.</x:v>
      </x:c>
      <x:c r="F4" s="304" t="str">
        <x:v>Review remaining Power recommendations against a supported arrangement; no architecture reset.</x:v>
      </x:c>
      <x:c r="G4" s="304" t="str">
        <x:v>Only scenario-specific information needed; not blocked by unrelated IEEE channel clauses.</x:v>
      </x:c>
      <x:c r="H4" s="304" t="str">
        <x:v>S09–S10; S61–S67</x:v>
      </x:c>
      <x:c r="I4" s="304" t="str">
        <x:v>Power Recommendation §§6–14; MPSS R16–R17</x:v>
      </x:c>
    </x:row>
    <x:row r="5" ht="58" customHeight="1">
      <x:c r="A5" s="304" t="str">
        <x:v>IG04</x:v>
      </x:c>
      <x:c r="B5" s="304" t="str">
        <x:v>Operational service-event access</x:v>
      </x:c>
      <x:c r="C5" s="304" t="str">
        <x:v>OPEN—OPTIONAL CAPABILITY</x:v>
      </x:c>
      <x:c r="D5" s="304" t="str">
        <x:v>R18 embedded history; R20 administration separated from Observation.</x:v>
      </x:c>
      <x:c r="E5" s="304" t="str">
        <x:v>SystemEvent service-access choice, shared event identity and coexistence policy.</x:v>
      </x:c>
      <x:c r="F5" s="304" t="str">
        <x:v>Decide when operational query access is required versus descriptive history; retain native alternatives.</x:v>
      </x:c>
      <x:c r="G5" s="304" t="str">
        <x:v>Owner choice for new service-access obligation, not a whole-model blocker.</x:v>
      </x:c>
      <x:c r="H5" s="304" t="str">
        <x:v>S01; S04; S60</x:v>
      </x:c>
      <x:c r="I5" s="304" t="str">
        <x:v>MPSS v0.3.5 R18 and §5.14.2; Power §9</x:v>
      </x:c>
    </x:row>
    <x:row r="6" ht="58" customHeight="1">
      <x:c r="A6" s="304" t="str">
        <x:v>IG05</x:v>
      </x:c>
      <x:c r="B6" s="304" t="str">
        <x:v>Deployment-qualified prospective coverage</x:v>
      </x:c>
      <x:c r="C6" s="304" t="str">
        <x:v>CONDITIONAL—NOT REQUIRED BY DEFAULT</x:v>
      </x:c>
      <x:c r="D6" s="304" t="str">
        <x:v>Native modes and declared-product discovery implemented.</x:v>
      </x:c>
      <x:c r="E6" s="304" t="str">
        <x:v>Additional context/authority/time semantics for what an employment can prospectively observe.</x:v>
      </x:c>
      <x:c r="F6" s="304" t="str">
        <x:v>Only advance for a concrete client question not answered by existing native descriptions.</x:v>
      </x:c>
      <x:c r="G6" s="304" t="str">
        <x:v>OMS access is closed; this is a design need, not missing source.</x:v>
      </x:c>
      <x:c r="H6" s="304" t="str">
        <x:v>S97; S99</x:v>
      </x:c>
      <x:c r="I6" s="304" t="str">
        <x:v>OMS decision memo; MPSS R04/R10</x:v>
      </x:c>
    </x:row>
    <x:row r="7" ht="58" customHeight="1">
      <x:c r="A7" s="304" t="str">
        <x:v>IG06</x:v>
      </x:c>
      <x:c r="B7" s="304" t="str">
        <x:v>Exact IEEE/TEDS dependencies</x:v>
      </x:c>
      <x:c r="C7" s="304" t="str">
        <x:v>BLOCKED—NORMATIVE SOURCE</x:v>
      </x:c>
      <x:c r="D7" s="304" t="str">
        <x:v>Pass 1A high-value channel semantics and verification backlog.</x:v>
      </x:c>
      <x:c r="E7" s="304" t="str">
        <x:v>Licensed exact IEEE 1451.0-2024 / ISO2145x clauses and edition delta.</x:v>
      </x:c>
      <x:c r="F7" s="304" t="str">
        <x:v>Obtain authorized text and execute already bounded source review.</x:v>
      </x:c>
      <x:c r="G7" s="304" t="str">
        <x:v>Blocks only IEEE-dependent normative definitions/claims.</x:v>
      </x:c>
      <x:c r="H7" s="304" t="str">
        <x:v>S71–S75; S77–S84</x:v>
      </x:c>
      <x:c r="I7" s="304" t="str">
        <x:v>IEEE Pass1A §§11–13 and Appendix B</x:v>
      </x:c>
    </x:row>
    <x:row r="8" ht="58" customHeight="1">
      <x:c r="A8" s="304" t="str">
        <x:v>IG07</x:v>
      </x:c>
      <x:c r="B8" s="304" t="str">
        <x:v>Local vocabulary stewardship and residual scope issues</x:v>
      </x:c>
      <x:c r="C8" s="304" t="str">
        <x:v>OPEN—DESIGN GOVERNANCE</x:v>
      </x:c>
      <x:c r="D8" s="304" t="str">
        <x:v>Authorship categories and approved binding notes exist.</x:v>
      </x:c>
      <x:c r="E8" s="304" t="str">
        <x:v>Separate maturity/acceptance policy, definition ownership and residual local-term justifications.</x:v>
      </x:c>
      <x:c r="F8" s="304" t="str">
        <x:v>Review only still-open terms, including inherited manufacturer-scope question; do not reopen approved bindings without new evidence.</x:v>
      </x:c>
      <x:c r="G8" s="304" t="str">
        <x:v>No ontology platform or new registry service implied.</x:v>
      </x:c>
      <x:c r="H8" s="304" t="str">
        <x:v>S08; S22; S85–S95; S96</x:v>
      </x:c>
      <x:c r="I8" s="304" t="str">
        <x:v>MPSS v0.3.5 §5.14.2; ISA Phase2 maturity recommendation</x:v>
      </x:c>
    </x:row>
    <x:row r="9" ht="58" customHeight="1">
      <x:c r="A9" s="304" t="str">
        <x:v>IG08</x:v>
      </x:c>
      <x:c r="B9" s="304" t="str">
        <x:v>DISR screen quality assurance and edition questions</x:v>
      </x:c>
      <x:c r="C9" s="304" t="str">
        <x:v>OPEN—EVIDENCE QA</x:v>
      </x:c>
      <x:c r="D9" s="304" t="str">
        <x:v>All 5,253 metadata rows screened; 29 prioritized.</x:v>
      </x:c>
      <x:c r="E9" s="304" t="str">
        <x:v>137 deterministic sample rows await independent human QA; SOSA row gives no edition.</x:v>
      </x:c>
      <x:c r="F9" s="304" t="str">
        <x:v>Preserve sample/shortlist; targeted follow-up only where selection depends on the result.</x:v>
      </x:c>
      <x:c r="G9" s="304" t="str">
        <x:v>Not another full baseline export or 5,253 technical reviews.</x:v>
      </x:c>
      <x:c r="H9" s="304" t="str">
        <x:v>S25; S114–S119</x:v>
      </x:c>
      <x:c r="I9" s="304" t="str">
        <x:v>SOSA Full Screen and Source/QA Provenance</x:v>
      </x:c>
    </x:row>
    <x:row r="10" ht="58" customHeight="1">
      <x:c r="A10" s="304" t="str">
        <x:v>IG09</x:v>
      </x:c>
      <x:c r="B10" s="304" t="str">
        <x:v>Native SAPIENT v2 source discrepancies</x:v>
      </x:c>
      <x:c r="C10" s="304" t="str">
        <x:v>CONDITIONAL—NATIVE IMPLEMENTATION</x:v>
      </x:c>
      <x:c r="D10" s="304" t="str">
        <x:v>Six recorded BSI/protobuf variance entries; semantic comparisons possible.</x:v>
      </x:c>
      <x:c r="E10" s="304" t="str">
        <x:v>Authoritative resolution for role-specific wire behavior if a native implementation is selected.</x:v>
      </x:c>
      <x:c r="F10" s="304" t="str">
        <x:v>Keep exact source variants; seek resolution only for an affected mapping/implementation.</x:v>
      </x:c>
      <x:c r="G10" s="304" t="str">
        <x:v>Not a reason to import v3 or freeze unrelated OGC work.</x:v>
      </x:c>
      <x:c r="H10" s="304" t="str">
        <x:v>S110–S113</x:v>
      </x:c>
      <x:c r="I10" s="304" t="str">
        <x:v>SAPIENT Variances sheet SV-01–SV-06</x:v>
      </x:c>
    </x:row>
    <x:row r="11" ht="58" customHeight="1">
      <x:c r="A11" s="304" t="str">
        <x:v>IG10</x:v>
      </x:c>
      <x:c r="B11" s="304" t="str">
        <x:v>Schema closure and interoperability evidence</x:v>
      </x:c>
      <x:c r="C11" s="304" t="str">
        <x:v>NOT COMMISSIONED—IMPLEMENTATION EVIDENCE</x:v>
      </x:c>
      <x:c r="D11" s="304" t="str">
        <x:v>Internal parsing/reference/conversion/preservation checks recorded.</x:v>
      </x:c>
      <x:c r="E11" s="304" t="str">
        <x:v>Full official OGC schema dependency validation and real donor/common-client interoperability.</x:v>
      </x:c>
      <x:c r="F11" s="304" t="str">
        <x:v>State the boundary; plan actual tests only with an implementation task.</x:v>
      </x:c>
      <x:c r="G11" s="304" t="str">
        <x:v>Not a new compliance campaign in this research increment.</x:v>
      </x:c>
      <x:c r="H11" s="304" t="str">
        <x:v>S01–S04; S59–S60; S121–S123</x:v>
      </x:c>
      <x:c r="I11" s="304" t="str">
        <x:v>SOURCE_EVIDENCE_v0.3.4/v0.3.5; verification reports</x:v>
      </x:c>
    </x:row>
    <x:row r="12" ht="58" customHeight="1">
      <x:c r="A12" s="304" t="str">
        <x:v>IG11</x:v>
      </x:c>
      <x:c r="B12" s="304" t="str">
        <x:v>Unreviewed/draft source options</x:v>
      </x:c>
      <x:c r="C12" s="304" t="str">
        <x:v>CONDITIONAL—NO CURRENT DEPENDENCY</x:v>
      </x:c>
      <x:c r="D12" s="304" t="str">
        <x:v>SAPIENT v2, approved OMS and adopted C239 evidence retained.</x:v>
      </x:c>
      <x:c r="E12" s="304" t="str">
        <x:v>SAPIENT v3, approved future SSN edition, S251 adoption and conditional FACE/MORA/VICTORY native needs.</x:v>
      </x:c>
      <x:c r="F12" s="304" t="str">
        <x:v>Keep version/status distinctions; no new survey or wait-for-all rule.</x:v>
      </x:c>
      <x:c r="G12" s="304" t="str">
        <x:v>Only actual source-dependent choices wait; no December approval promise.</x:v>
      </x:c>
      <x:c r="H12" s="304" t="str">
        <x:v>S99; S110; S117; S124</x:v>
      </x:c>
      <x:c r="I12" s="304" t="str">
        <x:v>PITON v4.4; SOSA handback memo</x:v>
      </x:c>
    </x:row>
    <x:row r="13" ht="135" customHeight="1">
      <x:c r="A13" s="223" t="str">
        <x:v>OG01</x:v>
      </x:c>
      <x:c r="B13" s="223" t="str">
        <x:v>Source identity and lane boundary</x:v>
      </x:c>
      <x:c r="C13" s="223" t="str">
        <x:v>Bounded residual / SOURCE</x:v>
      </x:c>
      <x:c r="D13" s="223" t="str">
        <x:v>R01–R08; S138–S140</x:v>
      </x:c>
      <x:c r="E13" s="223" t="str">
        <x:v>No source instance proves physical containment, exact lane extent or employment interval.</x:v>
      </x:c>
      <x:c r="F13" s="223" t="str">
        <x:v>Preserve registered membership; request actual instance assertions only when implementing the adapter.</x:v>
      </x:c>
      <x:c r="G13" s="223" t="str">
        <x:v>Not resolved by a new episode class.</x:v>
      </x:c>
      <x:c r="H13" s="223" t="str">
        <x:v>R01–R08; S138–S140</x:v>
      </x:c>
      <x:c r="I13" s="223" t="str">
        <x:v>OSCAR Residuals</x:v>
      </x:c>
    </x:row>
    <x:row r="14" ht="135" customHeight="1">
      <x:c r="A14" s="223" t="str">
        <x:v>OG02</x:v>
      </x:c>
      <x:c r="B14" s="223" t="str">
        <x:v>Radiation function and property vocabulary</x:v>
      </x:c>
      <x:c r="C14" s="223" t="str">
        <x:v>Bounded residual / VOCABULARY</x:v>
      </x:c>
      <x:c r="D14" s="223" t="str">
        <x:v>R04/R09/R17; S121/S123/S125–S127</x:v>
      </x:c>
      <x:c r="E14" s="223" t="str">
        <x:v>Current function-kind catalogue is illustrative; detailed radiation quantities/roles need an explicit edition-qualified vocabulary.</x:v>
      </x:c>
      <x:c r="F14" s="223" t="str">
        <x:v>Draft smallest vocabulary extension and cite exact donor semantics; do not relabel radiation as environmental measurement.</x:v>
      </x:c>
      <x:c r="G14" s="223" t="str">
        <x:v>Finite next binding increment; no architecture reset.</x:v>
      </x:c>
      <x:c r="H14" s="223" t="str">
        <x:v>R04/R09/R17; S121/S123/S125–S127</x:v>
      </x:c>
      <x:c r="I14" s="223" t="str">
        <x:v>OSCAR Residuals</x:v>
      </x:c>
    </x:row>
    <x:row r="15" ht="135" customHeight="1">
      <x:c r="A15" s="223" t="str">
        <x:v>OG03</x:v>
      </x:c>
      <x:c r="B15" s="223" t="str">
        <x:v>Source timestamp and quantity qualifications</x:v>
      </x:c>
      <x:c r="C15" s="223" t="str">
        <x:v>Bounded residual / SOURCE</x:v>
      </x:c>
      <x:c r="D15" s="223" t="str">
        <x:v>R11/R17; S139</x:v>
      </x:c>
      <x:c r="E15" s="223" t="str">
        <x:v>Reception-time description conflicts with helper semantics; maxima lack units in inspected helpers.</x:v>
      </x:c>
      <x:c r="F15" s="223" t="str">
        <x:v>Preserve original fields and report uncertainty; obtain producer/driver evidence before normalization.</x:v>
      </x:c>
      <x:c r="G15" s="223" t="str">
        <x:v>Model expressivity cannot supply missing source facts.</x:v>
      </x:c>
      <x:c r="H15" s="223" t="str">
        <x:v>R11/R17; S139</x:v>
      </x:c>
      <x:c r="I15" s="223" t="str">
        <x:v>OSCAR Residuals</x:v>
      </x:c>
    </x:row>
    <x:row r="16" ht="135" customHeight="1">
      <x:c r="A16" s="223" t="str">
        <x:v>OG04</x:v>
      </x:c>
      <x:c r="B16" s="223" t="str">
        <x:v>Grouping and cross-record navigation</x:v>
      </x:c>
      <x:c r="C16" s="223" t="str">
        <x:v>Bounded residual / BINDING</x:v>
      </x:c>
      <x:c r="D16" s="223" t="str">
        <x:v>S97; S125/S126; S128/S129/S132</x:v>
      </x:c>
      <x:c r="E16" s="223" t="str">
        <x:v>Source-qualified associations are retained, but common R11 navigation is not fully defined.</x:v>
      </x:c>
      <x:c r="F16" s="223" t="str">
        <x:v>Reuse explicit N42 groups and known target roles; test a narrow association/provenance binding.</x:v>
      </x:c>
      <x:c r="G16" s="223" t="str">
        <x:v>Membership, observation subject, evidence role and derivation remain different.</x:v>
      </x:c>
      <x:c r="H16" s="223" t="str">
        <x:v>S97; S125/S126; S128/S129/S132</x:v>
      </x:c>
      <x:c r="I16" s="223" t="str">
        <x:v>OSCAR Residuals</x:v>
      </x:c>
    </x:row>
    <x:row r="17" ht="135" customHeight="1">
      <x:c r="A17" s="223" t="str">
        <x:v>OG05</x:v>
      </x:c>
      <x:c r="B17" s="223" t="str">
        <x:v>Versioned processing provenance</x:v>
      </x:c>
      <x:c r="C17" s="223" t="str">
        <x:v>Bounded residual / BINDING + SOURCE</x:v>
      </x:c>
      <x:c r="D17" s="223" t="str">
        <x:v>S128–S132; S139</x:v>
      </x:c>
      <x:c r="E17" s="223" t="str">
        <x:v>Some source code identifies inputs but no concrete execution capture fixes input revisions, run identity or all versions.</x:v>
      </x:c>
      <x:c r="F17" s="223" t="str">
        <x:v>Candidate PROV-O document for supported dependencies; no speculative activity or input revision.</x:v>
      </x:c>
      <x:c r="G17" s="223" t="str">
        <x:v>Source capture precedes complete runtime provenance claims.</x:v>
      </x:c>
      <x:c r="H17" s="223" t="str">
        <x:v>S128–S132; S139</x:v>
      </x:c>
      <x:c r="I17" s="223" t="str">
        <x:v>OSCAR Residuals</x:v>
      </x:c>
    </x:row>
    <x:row r="18" ht="135" customHeight="1">
      <x:c r="A18" s="223" t="str">
        <x:v>OG06</x:v>
      </x:c>
      <x:c r="B18" s="223" t="str">
        <x:v>Media/product access and identity</x:v>
      </x:c>
      <x:c r="C18" s="223" t="str">
        <x:v>Bounded residual / BINDING</x:v>
      </x:c>
      <x:c r="D18" s="223" t="str">
        <x:v>S04/S131/S133; S138/S139</x:v>
      </x:c>
      <x:c r="E18" s="223" t="str">
        <x:v>Path construction is application-specific; external access and immutable historical identity are not the same.</x:v>
      </x:c>
      <x:c r="F18" s="223" t="str">
        <x:v>Use native typed result links where appropriate; consider provenance links; DCAT only for actual catalog needs.</x:v>
      </x:c>
      <x:c r="G18" s="223" t="str">
        <x:v>No mandatory artifact service or RDF store.</x:v>
      </x:c>
      <x:c r="H18" s="223" t="str">
        <x:v>S04/S131/S133; S138/S139</x:v>
      </x:c>
      <x:c r="I18" s="223" t="str">
        <x:v>OSCAR Residuals</x:v>
      </x:c>
    </x:row>
    <x:row r="19" ht="135" customHeight="1">
      <x:c r="A19" s="223" t="str">
        <x:v>OG07</x:v>
      </x:c>
      <x:c r="B19" s="223" t="str">
        <x:v>Adjudication history versus continuing case</x:v>
      </x:c>
      <x:c r="C19" s="223" t="str">
        <x:v>Bounded residual / REQUIREMENT</x:v>
      </x:c>
      <x:c r="D19" s="223" t="str">
        <x:v>R12; S134/S136/S139/S140</x:v>
      </x:c>
      <x:c r="E19" s="223" t="str">
        <x:v>Command/result preserves one returned assertion; a continuing case’s lifecycle and revision requirements are not specified here.</x:v>
      </x:c>
      <x:c r="F19" s="223" t="str">
        <x:v>Keep native result first; investigate CMMN only when independent case identity/lifecycle is demonstrated.</x:v>
      </x:c>
      <x:c r="G19" s="223" t="str">
        <x:v>Do not automatically create a separate decision resource.</x:v>
      </x:c>
      <x:c r="H19" s="223" t="str">
        <x:v>R12; S134/S136/S139/S140</x:v>
      </x:c>
      <x:c r="I19" s="223" t="str">
        <x:v>OSCAR Residuals</x:v>
      </x:c>
    </x:row>
    <x:row r="20" ht="135" customHeight="1">
      <x:c r="A20" s="223" t="str">
        <x:v>OG08</x:v>
      </x:c>
      <x:c r="B20" s="223" t="str">
        <x:v>N42 edition and normative validation</x:v>
      </x:c>
      <x:c r="C20" s="223" t="str">
        <x:v>Bounded residual / ACCESS / EDITION</x:v>
      </x:c>
      <x:c r="D20" s="223" t="str">
        <x:v>S125–S127/S137/S139</x:v>
      </x:c>
      <x:c r="E20" s="223" t="str">
        <x:v>Historical2011 examples inspected; 2020 artifact downloads failed; full IEEE/IEC text not inspected in this increment.</x:v>
      </x:c>
      <x:c r="F20" s="223" t="str">
        <x:v>Pin native edition; obtain applicable normative documents and matching schemas before conformance claims.</x:v>
      </x:c>
      <x:c r="G20" s="223" t="str">
        <x:v>Historical examples remain useful; do not relabel them2020.</x:v>
      </x:c>
      <x:c r="H20" s="223" t="str">
        <x:v>S125–S127/S137/S139</x:v>
      </x:c>
      <x:c r="I20" s="223" t="str">
        <x:v>OSCAR Residuals</x:v>
      </x:c>
    </x:row>
  </x:sheetData>
  <x:pageMargins left="0.7" right="0.7" top="0.75" bottom="0.75" header="0.3" footer="0.3"/>
  <x:tableParts count="1">
    <x:tablePart xmlns:r="http://schemas.openxmlformats.org/officeDocument/2006/relationships" r:id="Rf4298d69419d4547"/>
  </x:tableParts>
</x:worksheet>
</file>

<file path=xl/worksheets/sheet2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48" hidden="0" customWidth="1"/>
    <x:col min="3" max="3" width="10" hidden="0" customWidth="1"/>
    <x:col min="4" max="4" width="18" hidden="0" customWidth="1"/>
    <x:col min="5" max="5" width="19" hidden="0" customWidth="1"/>
    <x:col min="6" max="6" width="21" hidden="0" customWidth="1"/>
    <x:col min="7" max="7" width="43" hidden="0" customWidth="1"/>
    <x:col min="8" max="8" width="43" hidden="0" customWidth="1"/>
    <x:col min="9" max="9" width="18" hidden="0" customWidth="1"/>
    <x:col min="10" max="10" width="40" hidden="0" customWidth="1"/>
    <x:col min="11" max="11" width="44" hidden="0" customWidth="1"/>
  </x:cols>
  <x:sheetData>
    <x:row r="1" ht="38" customHeight="1">
      <x:c r="A1" s="302" t="str">
        <x:v>Exact identifier</x:v>
      </x:c>
      <x:c r="B1" s="302" t="str">
        <x:v>Recorded title</x:v>
      </x:c>
      <x:c r="C1" s="302" t="str">
        <x:v>Priority</x:v>
      </x:c>
      <x:c r="D1" s="302" t="str">
        <x:v>DoD status</x:v>
      </x:c>
      <x:c r="E1" s="302" t="str">
        <x:v>IC status</x:v>
      </x:c>
      <x:c r="F1" s="302" t="str">
        <x:v>R scope</x:v>
      </x:c>
      <x:c r="G1" s="302" t="str">
        <x:v>Original study disposition</x:v>
      </x:c>
      <x:c r="H1" s="302" t="str">
        <x:v>Current consolidation action</x:v>
      </x:c>
      <x:c r="I1" s="302" t="str">
        <x:v>Prior master linkage</x:v>
      </x:c>
      <x:c r="J1" s="302" t="str">
        <x:v>Source-study locator</x:v>
      </x:c>
      <x:c r="K1" s="302" t="str">
        <x:v>Applicability boundary</x:v>
      </x:c>
    </x:row>
    <x:row r="2" ht="58" customHeight="1">
      <x:c r="A2" s="304" t="str">
        <x:v>Sensors Open Systems Architecture</x:v>
      </x:c>
      <x:c r="B2" s="304" t="str">
        <x:v>Sensors Open Systems Architecture (SOSA)</x:v>
      </x:c>
      <x:c r="C2" s="304" t="str">
        <x:v>P0</x:v>
      </x:c>
      <x:c r="D2" s="304" t="str">
        <x:v>Mandated</x:v>
      </x:c>
      <x:c r="E2" s="304" t="str">
        <x:v>IC-Mandated</x:v>
      </x:c>
      <x:c r="F2" s="304" t="str">
        <x:v>R01-R04; R09; R12-R13; R16-R18</x:v>
      </x:c>
      <x:c r="G2" s="304" t="str">
        <x:v>ADD PRIMARY SOSA SOURCE; CONDITIONAL ADAPTER ONLY</x:v>
      </x:c>
      <x:c r="H2" s="304" t="str">
        <x:v>Research entries S114–S117 incorporated; native adapter remains conditional.</x:v>
      </x:c>
      <x:c r="I2" s="304" t="str">
        <x:v>NEW</x:v>
      </x:c>
      <x:c r="J2" s="304" t="str">
        <x:v>Open Group C239 §4-6, §12.11, §15 and normative App. B; S251 snapshot §§5.8, 6-7</x:v>
      </x:c>
      <x:c r="K2" s="304" t="str">
        <x:v>C5ISR modular sensor architecture, component management/mission tasking and module interactions; not an OGC whole-system API</x:v>
      </x:c>
    </x:row>
    <x:row r="3" ht="58" customHeight="1">
      <x:c r="A3" s="304" t="str">
        <x:v>OGC CS API - Part 1, v1.0, 23-001</x:v>
      </x:c>
      <x:c r="B3" s="304" t="str">
        <x:v>OGC API – Connected Systems - Part 1: Feature Resources, v1.0, 2025-07-16</x:v>
      </x:c>
      <x:c r="C3" s="304" t="str">
        <x:v>P0</x:v>
      </x:c>
      <x:c r="D3" s="304" t="str">
        <x:v>Emerging</x:v>
      </x:c>
      <x:c r="E3" s="304" t="str">
        <x:v>IC-Emerging</x:v>
      </x:c>
      <x:c r="F3" s="304" t="str">
        <x:v>R01-R08; R13</x:v>
      </x:c>
      <x:c r="G3" s="304" t="str">
        <x:v>RETAIN SELECTED OGC FOUNDATION</x:v>
      </x:c>
      <x:c r="H3" s="304" t="str">
        <x:v>Retain original source-study disposition; no technical selection made by consolidation.</x:v>
      </x:c>
      <x:c r="I3" s="304" t="str">
        <x:v>S03</x:v>
      </x:c>
      <x:c r="J3" s="304" t="str">
        <x:v>OGC 23-001 §§9-13; MPSS v0.3.1</x:v>
      </x:c>
      <x:c r="K3" s="304" t="str">
        <x:v>CSAPI System / Deployment / Procedure and associations already native</x:v>
      </x:c>
    </x:row>
    <x:row r="4" ht="58" customHeight="1">
      <x:c r="A4" s="304" t="str">
        <x:v>OGC CS API Part: 2, v1.0, 23-002</x:v>
      </x:c>
      <x:c r="B4" s="304" t="str">
        <x:v>OGC API – Connected Systems - Part 2: Dynamic Data, v1.0, 2025-07-16</x:v>
      </x:c>
      <x:c r="C4" s="304" t="str">
        <x:v>P0</x:v>
      </x:c>
      <x:c r="D4" s="304" t="str">
        <x:v>Emerging</x:v>
      </x:c>
      <x:c r="E4" s="304" t="str">
        <x:v>IC-Emerging</x:v>
      </x:c>
      <x:c r="F4" s="304" t="str">
        <x:v>R09-R12; R17-R18; R20</x:v>
      </x:c>
      <x:c r="G4" s="304" t="str">
        <x:v>RETAIN SELECTED OGC FOUNDATION</x:v>
      </x:c>
      <x:c r="H4" s="304" t="str">
        <x:v>Retain original source-study disposition; no technical selection made by consolidation.</x:v>
      </x:c>
      <x:c r="I4" s="304" t="str">
        <x:v>S04</x:v>
      </x:c>
      <x:c r="J4" s="304" t="str">
        <x:v>OGC 23-002 §§9-11</x:v>
      </x:c>
      <x:c r="K4" s="304" t="str">
        <x:v>DataStream / ControlStream / SystemEvent rather than SOSA-native HTTP management interface</x:v>
      </x:c>
    </x:row>
    <x:row r="5" ht="58" customHeight="1">
      <x:c r="A5" s="304" t="str">
        <x:v>OGC SensorML – V3.0, 23-000</x:v>
      </x:c>
      <x:c r="B5" s="304" t="str">
        <x:v>OGC SensorML Encoding Standard, v3.0, 2025-07-16</x:v>
      </x:c>
      <x:c r="C5" s="304" t="str">
        <x:v>P0</x:v>
      </x:c>
      <x:c r="D5" s="304" t="str">
        <x:v>Emerging</x:v>
      </x:c>
      <x:c r="E5" s="304" t="str">
        <x:v>IC-Emerging</x:v>
      </x:c>
      <x:c r="F5" s="304" t="str">
        <x:v>R01-R04; R08-R10</x:v>
      </x:c>
      <x:c r="G5" s="304" t="str">
        <x:v>RETAIN SELECTED OGC FOUNDATION</x:v>
      </x:c>
      <x:c r="H5" s="304" t="str">
        <x:v>Retain original source-study disposition; no technical selection made by consolidation.</x:v>
      </x:c>
      <x:c r="I5" s="304" t="str">
        <x:v>S01</x:v>
      </x:c>
      <x:c r="J5" s="304" t="str">
        <x:v>OGC 23-000 §8; MPSS v0.3.1</x:v>
      </x:c>
      <x:c r="K5" s="304" t="str">
        <x:v>SensorML process descriptions, capabilities/parameters/components; no SOSA module commitment</x:v>
      </x:c>
    </x:row>
    <x:row r="6" ht="58" customHeight="1">
      <x:c r="A6" s="304" t="str">
        <x:v>OGC SWE Common – V3.0, 24-014</x:v>
      </x:c>
      <x:c r="B6" s="304" t="str">
        <x:v>OGC SWE Common Data Model Encoding Standard, v3.0, 2025-07-16</x:v>
      </x:c>
      <x:c r="C6" s="304" t="str">
        <x:v>P0</x:v>
      </x:c>
      <x:c r="D6" s="304" t="str">
        <x:v>Emerging</x:v>
      </x:c>
      <x:c r="E6" s="304" t="str">
        <x:v>IC-Emerging</x:v>
      </x:c>
      <x:c r="F6" s="304" t="str">
        <x:v>R04; R09-R12; R17</x:v>
      </x:c>
      <x:c r="G6" s="304" t="str">
        <x:v>RETAIN SELECTED OGC FOUNDATION</x:v>
      </x:c>
      <x:c r="H6" s="304" t="str">
        <x:v>Retain original source-study disposition; no technical selection made by consolidation.</x:v>
      </x:c>
      <x:c r="I6" s="304" t="str">
        <x:v>S02</x:v>
      </x:c>
      <x:c r="J6" s="304" t="str">
        <x:v>OGC 24-014 §9</x:v>
      </x:c>
      <x:c r="K6" s="304" t="str">
        <x:v>SWE Common typed quantities/records independent of SOSA message schemas</x:v>
      </x:c>
    </x:row>
    <x:row r="7" ht="58" customHeight="1">
      <x:c r="A7" s="304" t="str">
        <x:v>IETF RFC 8348</x:v>
      </x:c>
      <x:c r="B7" s="304" t="str">
        <x:v>A YANG Data Model for Hardware Management, March 2018</x:v>
      </x:c>
      <x:c r="C7" s="304" t="str">
        <x:v>P1</x:v>
      </x:c>
      <x:c r="D7" s="304" t="str">
        <x:v>Mandated</x:v>
      </x:c>
      <x:c r="E7" s="304" t="str">
        <x:v>IC-Mandated</x:v>
      </x:c>
      <x:c r="F7" s="304" t="str">
        <x:v>R01-R04; R13</x:v>
      </x:c>
      <x:c r="G7" s="304" t="str">
        <x:v>RETAIN ALREADY RESEARCHED</x:v>
      </x:c>
      <x:c r="H7" s="304" t="str">
        <x:v>Retain original source-study disposition; no technical selection made by consolidation.</x:v>
      </x:c>
      <x:c r="I7" s="304" t="str">
        <x:v>S08</x:v>
      </x:c>
      <x:c r="J7" s="304" t="str">
        <x:v>IETF RFC 8348 §7; MPSS §4.2</x:v>
      </x:c>
      <x:c r="K7" s="304" t="str">
        <x:v>YANG hardware inventory model; operational estate structure rather than SOSA card specification</x:v>
      </x:c>
    </x:row>
    <x:row r="8" ht="58" customHeight="1">
      <x:c r="A8" s="304" t="str">
        <x:v>IETF RFC 2863</x:v>
      </x:c>
      <x:c r="B8" s="304" t="str">
        <x:v>The Interfaces Group MIB, June 2000</x:v>
      </x:c>
      <x:c r="C8" s="304" t="str">
        <x:v>P1</x:v>
      </x:c>
      <x:c r="D8" s="304" t="str">
        <x:v>Mandated</x:v>
      </x:c>
      <x:c r="E8" s="304" t="str">
        <x:v>IC-Mandated</x:v>
      </x:c>
      <x:c r="F8" s="304" t="str">
        <x:v>R13-R14</x:v>
      </x:c>
      <x:c r="G8" s="304" t="str">
        <x:v>RETAIN ALREADY RESEARCHED</x:v>
      </x:c>
      <x:c r="H8" s="304" t="str">
        <x:v>Retain original source-study disposition; no technical selection made by consolidation.</x:v>
      </x:c>
      <x:c r="I8" s="304" t="str">
        <x:v>S53</x:v>
      </x:c>
      <x:c r="J8" s="304" t="str">
        <x:v>IETF RFC 2863 §3; MPSS §5.9</x:v>
      </x:c>
      <x:c r="K8" s="304" t="str">
        <x:v>Interfaces MIB long-lived network interface vocabulary, not connection topology</x:v>
      </x:c>
    </x:row>
    <x:row r="9" ht="58" customHeight="1">
      <x:c r="A9" s="304" t="str">
        <x:v>MIMOSA OSA-CBM v3.3.1</x:v>
      </x:c>
      <x:c r="B9" s="304" t="str">
        <x:v>MIMOSA Open Systems Architecture-Condition Based Maintenance Version 3.3.1, 29 June 2010</x:v>
      </x:c>
      <x:c r="C9" s="304" t="str">
        <x:v>P1</x:v>
      </x:c>
      <x:c r="D9" s="304" t="str">
        <x:v>Mandated</x:v>
      </x:c>
      <x:c r="E9" s="304" t="str">
        <x:v>IC-Mandated</x:v>
      </x:c>
      <x:c r="F9" s="304" t="str">
        <x:v>R18-R20</x:v>
      </x:c>
      <x:c r="G9" s="304" t="str">
        <x:v>RETAIN ALREADY RESEARCHED</x:v>
      </x:c>
      <x:c r="H9" s="304" t="str">
        <x:v>Retain original source-study disposition; no technical selection made by consolidation.</x:v>
      </x:c>
      <x:c r="I9" s="304" t="str">
        <x:v>S17</x:v>
      </x:c>
      <x:c r="J9" s="304" t="str">
        <x:v>MIMOSA OSA-CBM 3.3.1; register S17</x:v>
      </x:c>
      <x:c r="K9" s="304" t="str">
        <x:v>Condition-based maintenance model; not universal SOSA BIT event schema</x:v>
      </x:c>
    </x:row>
    <x:row r="10" ht="58" customHeight="1">
      <x:c r="A10" s="304" t="str">
        <x:v>MIMOSA OSA-EAI 3.2.3a</x:v>
      </x:c>
      <x:c r="B10" s="304" t="str">
        <x:v>MIMOSA Open Systems Architecture - Enterprise Application Integration (OSA-EAI) 3.2.3a May 12, 2014</x:v>
      </x:c>
      <x:c r="C10" s="304" t="str">
        <x:v>P1</x:v>
      </x:c>
      <x:c r="D10" s="304" t="str">
        <x:v>Mandated</x:v>
      </x:c>
      <x:c r="E10" s="304" t="str">
        <x:v>IC-Not Applicable</x:v>
      </x:c>
      <x:c r="F10" s="304" t="str">
        <x:v>R02-R03; R18-R20</x:v>
      </x:c>
      <x:c r="G10" s="304" t="str">
        <x:v>RETAIN ALREADY RESEARCHED</x:v>
      </x:c>
      <x:c r="H10" s="304" t="str">
        <x:v>Retain original source-study disposition; no technical selection made by consolidation.</x:v>
      </x:c>
      <x:c r="I10" s="304" t="str">
        <x:v>S16</x:v>
      </x:c>
      <x:c r="J10" s="304" t="str">
        <x:v>MIMOSA OSA-EAI 3.2.3a; register S16</x:v>
      </x:c>
      <x:c r="K10" s="304" t="str">
        <x:v>Enterprise asset/maintenance integration—not necessarily field sensor API</x:v>
      </x:c>
    </x:row>
    <x:row r="11" ht="60" customHeight="1">
      <x:c r="A11" s="304" t="str">
        <x:v>ISO/IEC/IEEE 21450:2010</x:v>
      </x:c>
      <x:c r="B11" s="304" t="str">
        <x:v>Information technology -- Smart transducer interface for sensors and actuators -- Common functions, communication protocols, and Transducer Electronic Data Sheet (TEDS) formats, May 2010</x:v>
      </x:c>
      <x:c r="C11" s="304" t="str">
        <x:v>P1</x:v>
      </x:c>
      <x:c r="D11" s="304" t="str">
        <x:v>Emerging</x:v>
      </x:c>
      <x:c r="E11" s="304" t="str">
        <x:v>IC-Emerging</x:v>
      </x:c>
      <x:c r="F11" s="304" t="str">
        <x:v>R01-R04; R09-R10</x:v>
      </x:c>
      <x:c r="G11" s="304" t="str">
        <x:v>DEFER EXACT NORMATIVE DETAILS</x:v>
      </x:c>
      <x:c r="H11" s="304" t="str">
        <x:v>Retain original source-study disposition; no technical selection made by consolidation.</x:v>
      </x:c>
      <x:c r="I11" s="304" t="str">
        <x:v>S72</x:v>
      </x:c>
      <x:c r="J11" s="304" t="str">
        <x:v>ISO/IEC/IEEE 21450:2010; interim IEEE study</x:v>
      </x:c>
      <x:c r="K11" s="304" t="str">
        <x:v>Smart transducer common functions/metadata, lower-level than SOSA system modules</x:v>
      </x:c>
    </x:row>
    <x:row r="12" ht="60" customHeight="1">
      <x:c r="A12" s="304" t="str">
        <x:v>ISO/IEC/IEEE 21451-1:2010</x:v>
      </x:c>
      <x:c r="B12" s="304" t="str">
        <x:v>Information technology -- Smart transducer interface for sensors and actuators --Part 1: Network Capable Application Processor (NCAP) information model, May 2010</x:v>
      </x:c>
      <x:c r="C12" s="304" t="str">
        <x:v>P1</x:v>
      </x:c>
      <x:c r="D12" s="304" t="str">
        <x:v>Emerging</x:v>
      </x:c>
      <x:c r="E12" s="304" t="str">
        <x:v>IC-Emerging</x:v>
      </x:c>
      <x:c r="F12" s="304" t="str">
        <x:v>R01-R04; R09-R10</x:v>
      </x:c>
      <x:c r="G12" s="304" t="str">
        <x:v>DEFER EXACT NORMATIVE DETAILS</x:v>
      </x:c>
      <x:c r="H12" s="304" t="str">
        <x:v>Retain original source-study disposition; no technical selection made by consolidation.</x:v>
      </x:c>
      <x:c r="I12" s="304" t="str">
        <x:v>S73</x:v>
      </x:c>
      <x:c r="J12" s="304" t="str">
        <x:v>ISO/IEC/IEEE 21451-1:2010; interim IEEE study</x:v>
      </x:c>
      <x:c r="K12" s="304" t="str">
        <x:v>NCAP-specific information model, not generic sensor deployment</x:v>
      </x:c>
    </x:row>
    <x:row r="13" ht="73" customHeight="1">
      <x:c r="A13" s="304" t="str">
        <x:v>ISO/IEC/IEEE 21451-2:2010</x:v>
      </x:c>
      <x:c r="B13" s="304" t="str">
        <x:v>Information technology -- Smart transducer interface for sensors and actuators -- Part 2: Transducer to microprocessor communication protocols and Transducer Electronic Data Sheet (TEDS) formats, May 2010</x:v>
      </x:c>
      <x:c r="C13" s="304" t="str">
        <x:v>P1</x:v>
      </x:c>
      <x:c r="D13" s="304" t="str">
        <x:v>Emerging</x:v>
      </x:c>
      <x:c r="E13" s="304" t="str">
        <x:v>IC-Emerging</x:v>
      </x:c>
      <x:c r="F13" s="304" t="str">
        <x:v>R04; R09-R10</x:v>
      </x:c>
      <x:c r="G13" s="304" t="str">
        <x:v>DEFER EXACT NORMATIVE DETAILS</x:v>
      </x:c>
      <x:c r="H13" s="304" t="str">
        <x:v>Retain original source-study disposition; no technical selection made by consolidation.</x:v>
      </x:c>
      <x:c r="I13" s="304" t="str">
        <x:v>S74</x:v>
      </x:c>
      <x:c r="J13" s="304" t="str">
        <x:v>ISO/IEC/IEEE 21451-2:2010; interim IEEE study</x:v>
      </x:c>
      <x:c r="K13" s="304" t="str">
        <x:v>Transducer-to-microprocessor details, no universal CSAPI behavior</x:v>
      </x:c>
    </x:row>
    <x:row r="14" ht="60" customHeight="1">
      <x:c r="A14" s="304" t="str">
        <x:v>ISO/IEC/IEEE 21451-4:2010</x:v>
      </x:c>
      <x:c r="B14" s="304" t="str">
        <x:v>Information technology -- Smart transducer interface for sensors and actuators -- Part 4: Mixed-mode communication protocols and Transducer Electronic Data Sheet (TEDS) formats, May 2010</x:v>
      </x:c>
      <x:c r="C14" s="304" t="str">
        <x:v>P1</x:v>
      </x:c>
      <x:c r="D14" s="304" t="str">
        <x:v>Emerging</x:v>
      </x:c>
      <x:c r="E14" s="304" t="str">
        <x:v>IC-Emerging</x:v>
      </x:c>
      <x:c r="F14" s="304" t="str">
        <x:v>R04; R09-R10</x:v>
      </x:c>
      <x:c r="G14" s="304" t="str">
        <x:v>DEFER EXACT NORMATIVE DETAILS</x:v>
      </x:c>
      <x:c r="H14" s="304" t="str">
        <x:v>Retain original source-study disposition; no technical selection made by consolidation.</x:v>
      </x:c>
      <x:c r="I14" s="304" t="str">
        <x:v>S75</x:v>
      </x:c>
      <x:c r="J14" s="304" t="str">
        <x:v>ISO/IEC/IEEE 21451-4:2010; interim IEEE study</x:v>
      </x:c>
      <x:c r="K14" s="304" t="str">
        <x:v>Mixed-mode device-specific interface; possible native adapter</x:v>
      </x:c>
    </x:row>
    <x:row r="15" ht="58" customHeight="1">
      <x:c r="A15" s="304" t="str">
        <x:v>FACE Ed. 3.0</x:v>
      </x:c>
      <x:c r="B15" s="304" t="str">
        <x:v>Technical Standard for Future Airborne Capability Environment (FACE), Edition 3.0, November 2017</x:v>
      </x:c>
      <x:c r="C15" s="304" t="str">
        <x:v>P1</x:v>
      </x:c>
      <x:c r="D15" s="304" t="str">
        <x:v>Mandated</x:v>
      </x:c>
      <x:c r="E15" s="304" t="str">
        <x:v>IC-Mandated</x:v>
      </x:c>
      <x:c r="F15" s="304" t="str">
        <x:v>R01-R04; R09; R12</x:v>
      </x:c>
      <x:c r="G15" s="304" t="str">
        <x:v>NEW BOUNDED FOLLOW-UP</x:v>
      </x:c>
      <x:c r="H15" s="304" t="str">
        <x:v>Retain original source-study disposition; no technical selection made by consolidation.</x:v>
      </x:c>
      <x:c r="I15" s="304" t="str">
        <x:v>NEW</x:v>
      </x:c>
      <x:c r="J15" s="304" t="str">
        <x:v>DISR FACE Ed 3.0; SOSA S251 §5.8 (different edition)</x:v>
      </x:c>
      <x:c r="K15" s="304" t="str">
        <x:v>FACE software environment/TSS/shared data model; distinct from SOSA module/C5ISR assembly and OGC resource model</x:v>
      </x:c>
    </x:row>
    <x:row r="16" ht="58" customHeight="1">
      <x:c r="A16" s="304" t="str">
        <x:v>Modular Open Radio Frequency Architecture(MORA) V2.1</x:v>
      </x:c>
      <x:c r="B16" s="304" t="str">
        <x:v>Modular Open Radio Frequency Architecture (MORA) Version 2.1, June 01 2017</x:v>
      </x:c>
      <x:c r="C16" s="304" t="str">
        <x:v>P1</x:v>
      </x:c>
      <x:c r="D16" s="304" t="str">
        <x:v>Active</x:v>
      </x:c>
      <x:c r="E16" s="304" t="str">
        <x:v>IC-Active</x:v>
      </x:c>
      <x:c r="F16" s="304" t="str">
        <x:v>R04; R09-R10</x:v>
      </x:c>
      <x:c r="G16" s="304" t="str">
        <x:v>NEW BOUNDED FOLLOW-UP IF RF FAMILY</x:v>
      </x:c>
      <x:c r="H16" s="304" t="str">
        <x:v>Retain original source-study disposition; no technical selection made by consolidation.</x:v>
      </x:c>
      <x:c r="I16" s="304" t="str">
        <x:v>NEW</x:v>
      </x:c>
      <x:c r="J16" s="304" t="str">
        <x:v>DISR MORA v2.1; SOSA C239 §8.3</x:v>
      </x:c>
      <x:c r="K16" s="304" t="str">
        <x:v>RF processing/module interfaces; useful for RF device capability, not general environmental systems</x:v>
      </x:c>
    </x:row>
    <x:row r="17" ht="58" customHeight="1">
      <x:c r="A17" s="304" t="str">
        <x:v>VICTORY Std Specs v 1.9 4-9-2021</x:v>
      </x:c>
      <x:c r="B17" s="304" t="str">
        <x:v>Vehicular Integration for C4/ISR Interoperability (VICTORY) Standard Specifications, v1.9  4-9-2021</x:v>
      </x:c>
      <x:c r="C17" s="304" t="str">
        <x:v>P1</x:v>
      </x:c>
      <x:c r="D17" s="304" t="str">
        <x:v>Active</x:v>
      </x:c>
      <x:c r="E17" s="304" t="str">
        <x:v>IC-Active</x:v>
      </x:c>
      <x:c r="F17" s="304" t="str">
        <x:v>R02-R03; R13-R15</x:v>
      </x:c>
      <x:c r="G17" s="304" t="str">
        <x:v>NEW BOUNDED FOLLOW-UP IF VEHICLE</x:v>
      </x:c>
      <x:c r="H17" s="304" t="str">
        <x:v>Retain original source-study disposition; no technical selection made by consolidation.</x:v>
      </x:c>
      <x:c r="I17" s="304" t="str">
        <x:v>NEW</x:v>
      </x:c>
      <x:c r="J17" s="304" t="str">
        <x:v>DISR VICTORY v1.9; SOSA C239 referenced documents</x:v>
      </x:c>
      <x:c r="K17" s="304" t="str">
        <x:v>C4ISR vehicle integration architecture, not whole-sensor history or CSAPI</x:v>
      </x:c>
    </x:row>
    <x:row r="18" ht="58" customHeight="1">
      <x:c r="A18" s="304" t="str">
        <x:v>OMG formal/2015-04-10</x:v>
      </x:c>
      <x:c r="B18" s="304" t="str">
        <x:v>Data Distribution Service (DDS) version 1.4 dated April 2015</x:v>
      </x:c>
      <x:c r="C18" s="304" t="str">
        <x:v>P2</x:v>
      </x:c>
      <x:c r="D18" s="304" t="str">
        <x:v>Mandated</x:v>
      </x:c>
      <x:c r="E18" s="304" t="str">
        <x:v>IC-Mandated</x:v>
      </x:c>
      <x:c r="F18" s="304" t="str">
        <x:v>R10-R12; R14</x:v>
      </x:c>
      <x:c r="G18" s="304" t="str">
        <x:v>TRANSPORT ADJACENT ONLY; NO PROFILE MIGRATION</x:v>
      </x:c>
      <x:c r="H18" s="304" t="str">
        <x:v>Retain original source-study disposition; no technical selection made by consolidation.</x:v>
      </x:c>
      <x:c r="I18" s="304" t="str">
        <x:v>NEW</x:v>
      </x:c>
      <x:c r="J18" s="304" t="str">
        <x:v>DISR DDS 1.4, 2015; native binding requires vendor evidence</x:v>
      </x:c>
      <x:c r="K18" s="304" t="str">
        <x:v>DDS 1.4 publish/subscribe middleware transport; not a sensor-semantic information model</x:v>
      </x:c>
    </x:row>
    <x:row r="19" ht="58" customHeight="1">
      <x:c r="A19" s="304" t="str">
        <x:v>OMG DDSI-RTPS v2.5</x:v>
      </x:c>
      <x:c r="B19" s="304" t="str">
        <x:v>The Real-time Publish-Subscribe Protocol DDS Interoperability Wire Protocol Specification, Version 2.5,  June 2021</x:v>
      </x:c>
      <x:c r="C19" s="304" t="str">
        <x:v>P2</x:v>
      </x:c>
      <x:c r="D19" s="304" t="str">
        <x:v>Mandated</x:v>
      </x:c>
      <x:c r="E19" s="304" t="str">
        <x:v>IC-Mandated</x:v>
      </x:c>
      <x:c r="F19" s="304" t="str">
        <x:v>R10-R12; R14</x:v>
      </x:c>
      <x:c r="G19" s="304" t="str">
        <x:v>TRANSPORT ADJACENT ONLY; NO PROFILE MIGRATION</x:v>
      </x:c>
      <x:c r="H19" s="304" t="str">
        <x:v>Retain original source-study disposition; no technical selection made by consolidation.</x:v>
      </x:c>
      <x:c r="I19" s="304" t="str">
        <x:v>NEW</x:v>
      </x:c>
      <x:c r="J19" s="304" t="str">
        <x:v>DISR DDSI-RTPS v2.5, 2021</x:v>
      </x:c>
      <x:c r="K19" s="304" t="str">
        <x:v>Wire-level DDS interoperability protocol; not resource or sensor-domain model</x:v>
      </x:c>
    </x:row>
    <x:row r="20" ht="58" customHeight="1">
      <x:c r="A20" s="304" t="str">
        <x:v>OGC GeoSPARQL 22-047r1 v1.1</x:v>
      </x:c>
      <x:c r="B20" s="304" t="str">
        <x:v>OGC GeoSPARQL - A Geographic Query Language for RDF Data, v1.1, 2024-01-29</x:v>
      </x:c>
      <x:c r="C20" s="304" t="str">
        <x:v>P2</x:v>
      </x:c>
      <x:c r="D20" s="304" t="str">
        <x:v>Mandated</x:v>
      </x:c>
      <x:c r="E20" s="304" t="str">
        <x:v>IC-Mandated</x:v>
      </x:c>
      <x:c r="F20" s="304" t="str">
        <x:v>R07; R11; R20</x:v>
      </x:c>
      <x:c r="G20" s="304" t="str">
        <x:v>FOLLOW ONLY IF RDF / GEOQUERY REQUIREMENT</x:v>
      </x:c>
      <x:c r="H20" s="304" t="str">
        <x:v>Retain original source-study disposition; no technical selection made by consolidation.</x:v>
      </x:c>
      <x:c r="I20" s="304" t="str">
        <x:v>NEW</x:v>
      </x:c>
      <x:c r="J20" s="304" t="str">
        <x:v>DISR GeoSPARQL v1.1, 2024; publisher OGC 22-047r1</x:v>
      </x:c>
      <x:c r="K20" s="304" t="str">
        <x:v>RDF geospatial query language; geospatial relationships are already available through OGC Features</x:v>
      </x:c>
    </x:row>
    <x:row r="21" ht="58" customHeight="1">
      <x:c r="A21" s="304" t="str">
        <x:v>OGC API EDR 19-086r6, v1.1</x:v>
      </x:c>
      <x:c r="B21" s="304" t="str">
        <x:v>OGC API - Environmental Data Retrieval Standard v1.1, 2023-07-27</x:v>
      </x:c>
      <x:c r="C21" s="304" t="str">
        <x:v>P2</x:v>
      </x:c>
      <x:c r="D21" s="304" t="str">
        <x:v>Emerging</x:v>
      </x:c>
      <x:c r="E21" s="304" t="str">
        <x:v>IC-Emerging</x:v>
      </x:c>
      <x:c r="F21" s="304" t="str">
        <x:v>R10-R11</x:v>
      </x:c>
      <x:c r="G21" s="304" t="str">
        <x:v>PAYLOAD / DISTRIBUTION OPTION; NOT CORE PROFILE</x:v>
      </x:c>
      <x:c r="H21" s="304" t="str">
        <x:v>Retain original source-study disposition; no technical selection made by consolidation.</x:v>
      </x:c>
      <x:c r="I21" s="304" t="str">
        <x:v>NEW</x:v>
      </x:c>
      <x:c r="J21" s="304" t="str">
        <x:v>DISR EDR v1.1, 2023; OGC 19-086r6</x:v>
      </x:c>
      <x:c r="K21" s="304" t="str">
        <x:v>Environmental Data Retrieval API distinct from management of the deployed sensing system</x:v>
      </x:c>
    </x:row>
    <x:row r="22" ht="60" customHeight="1">
      <x:c r="A22" s="304" t="str">
        <x:v>ISO 10303-46:2022</x:v>
      </x:c>
      <x:c r="B22" s="304" t="str">
        <x:v>Industrial automation systems and integration -- Product data representation and exchange -- Part 46: Integrated generic resource: Visual presentation, December 2022</x:v>
      </x:c>
      <x:c r="C22" s="304" t="str">
        <x:v>P2</x:v>
      </x:c>
      <x:c r="D22" s="304" t="str">
        <x:v>Mandated</x:v>
      </x:c>
      <x:c r="E22" s="304" t="str">
        <x:v>IC-Mandated</x:v>
      </x:c>
      <x:c r="F22" s="304" t="str">
        <x:v>R01-R03</x:v>
      </x:c>
      <x:c r="G22" s="304" t="str">
        <x:v>FOLLOW ONLY FOR MANUFACTURER ENGINEERING DATA</x:v>
      </x:c>
      <x:c r="H22" s="304" t="str">
        <x:v>Retain original source-study disposition; no technical selection made by consolidation.</x:v>
      </x:c>
      <x:c r="I22" s="304" t="str">
        <x:v>NEW</x:v>
      </x:c>
      <x:c r="J22" s="304" t="str">
        <x:v>DISR ISO 10303-46:2022 title; full clauses not inspected</x:v>
      </x:c>
      <x:c r="K22" s="304" t="str">
        <x:v>STEP integrated generic resource: visual presentation; not live sensor command</x:v>
      </x:c>
    </x:row>
    <x:row r="23" ht="60" customHeight="1">
      <x:c r="A23" s="304" t="str">
        <x:v>ISO 10303-210:2021</x:v>
      </x:c>
      <x:c r="B23" s="304" t="str">
        <x:v>Industrial automation systems and integration - Product data representation and exchange - Part 210: Application protocol: Electronic assembly, interconnect and packaging design.</x:v>
      </x:c>
      <x:c r="C23" s="304" t="str">
        <x:v>P2</x:v>
      </x:c>
      <x:c r="D23" s="304" t="str">
        <x:v>Mandated</x:v>
      </x:c>
      <x:c r="E23" s="304" t="str">
        <x:v>IC-Mandated</x:v>
      </x:c>
      <x:c r="F23" s="304" t="str">
        <x:v>R01-R03; R16</x:v>
      </x:c>
      <x:c r="G23" s="304" t="str">
        <x:v>FOLLOW ONLY FOR DESIGN-EXCHANGE REQUIREMENT</x:v>
      </x:c>
      <x:c r="H23" s="304" t="str">
        <x:v>Retain original source-study disposition; no technical selection made by consolidation.</x:v>
      </x:c>
      <x:c r="I23" s="304" t="str">
        <x:v>NEW</x:v>
      </x:c>
      <x:c r="J23" s="304" t="str">
        <x:v>DISR ISO 10303-210:2021 title; normative text not inspected</x:v>
      </x:c>
      <x:c r="K23" s="304" t="str">
        <x:v>STEP electronic assembly/design data, not source-to-consumer operating power topology</x:v>
      </x:c>
    </x:row>
    <x:row r="24" ht="58" customHeight="1">
      <x:c r="A24" s="304" t="str">
        <x:v>DMTF - DSP0210-2</x:v>
      </x:c>
      <x:c r="B24" s="304" t="str">
        <x:v>CIM-RS Protocol, Version 2.0.0, 2015-03-06</x:v>
      </x:c>
      <x:c r="C24" s="304" t="str">
        <x:v>P2</x:v>
      </x:c>
      <x:c r="D24" s="304" t="str">
        <x:v>Mandated</x:v>
      </x:c>
      <x:c r="E24" s="304" t="str">
        <x:v>IC-Mandated</x:v>
      </x:c>
      <x:c r="F24" s="304" t="str">
        <x:v>R02; R13; R18</x:v>
      </x:c>
      <x:c r="G24" s="304" t="str">
        <x:v>NATIVE-ADAPTER CONTEXT ONLY</x:v>
      </x:c>
      <x:c r="H24" s="304" t="str">
        <x:v>Retain original source-study disposition; no technical selection made by consolidation.</x:v>
      </x:c>
      <x:c r="I24" s="304" t="str">
        <x:v>NEW</x:v>
      </x:c>
      <x:c r="J24" s="304" t="str">
        <x:v>DISR CIM-RS 2.0.0, 2015; full text not inspected</x:v>
      </x:c>
      <x:c r="K24" s="304" t="str">
        <x:v>CIM-RS protocol at management stack, no universal CSAPI mapping</x:v>
      </x:c>
    </x:row>
    <x:row r="25" ht="58" customHeight="1">
      <x:c r="A25" s="304" t="str">
        <x:v>IETF RFC 5424</x:v>
      </x:c>
      <x:c r="B25" s="304" t="str">
        <x:v>The Syslog Protocol, March 2009</x:v>
      </x:c>
      <x:c r="C25" s="304" t="str">
        <x:v>P2</x:v>
      </x:c>
      <x:c r="D25" s="304" t="str">
        <x:v>Mandated</x:v>
      </x:c>
      <x:c r="E25" s="304" t="str">
        <x:v>IC-Mandated</x:v>
      </x:c>
      <x:c r="F25" s="304" t="str">
        <x:v>R18; R20</x:v>
      </x:c>
      <x:c r="G25" s="304" t="str">
        <x:v>DEPENDENCY ONLY FOR NATIVE SOSA MAPPING</x:v>
      </x:c>
      <x:c r="H25" s="304" t="str">
        <x:v>Retain original source-study disposition; no technical selection made by consolidation.</x:v>
      </x:c>
      <x:c r="I25" s="304" t="str">
        <x:v>NEW</x:v>
      </x:c>
      <x:c r="J25" s="304" t="str">
        <x:v>SOSA C239 Rules 6.2.1-3, 6.2.2.1-1 through -6</x:v>
      </x:c>
      <x:c r="K25" s="304" t="str">
        <x:v>Syslog event format appears as technology binding for in-band SOSA notifications</x:v>
      </x:c>
    </x:row>
    <x:row r="26" ht="58" customHeight="1">
      <x:c r="A26" s="304" t="str">
        <x:v>NGA.STND.0024-1_1.4.0</x:v>
      </x:c>
      <x:c r="B26" s="304" t="str">
        <x:v>Sensor Independent Complex Data (SICD) Volume 1, Design &amp; Implementation Description Document, Version 1.4.0, 2023-10-26</x:v>
      </x:c>
      <x:c r="C26" s="304" t="str">
        <x:v>P2</x:v>
      </x:c>
      <x:c r="D26" s="304" t="str">
        <x:v>Mandated</x:v>
      </x:c>
      <x:c r="E26" s="304" t="str">
        <x:v>IC-Mandated</x:v>
      </x:c>
      <x:c r="F26" s="304" t="str">
        <x:v>R10-R11</x:v>
      </x:c>
      <x:c r="G26" s="304" t="str">
        <x:v>PAYLOAD-SPECIFIC; CONDITIONAL LINK</x:v>
      </x:c>
      <x:c r="H26" s="304" t="str">
        <x:v>Retain original source-study disposition; no technical selection made by consolidation.</x:v>
      </x:c>
      <x:c r="I26" s="304" t="str">
        <x:v>NEW</x:v>
      </x:c>
      <x:c r="J26" s="304" t="str">
        <x:v>DISR SICD v1.4.0, Volume 1; no normative source inspected</x:v>
      </x:c>
      <x:c r="K26" s="304" t="str">
        <x:v>SICD describes specific radar image products, not deployed-system structural model</x:v>
      </x:c>
    </x:row>
    <x:row r="27" ht="58" customHeight="1">
      <x:c r="A27" s="304" t="str">
        <x:v>NGA.STND.0024-3_1.4.0</x:v>
      </x:c>
      <x:c r="B27" s="304" t="str">
        <x:v>Sensor Independent Complex Data (SICD) Volume 3, Image Projections Description Document, Version 1.4.0, 2023-10-26</x:v>
      </x:c>
      <x:c r="C27" s="304" t="str">
        <x:v>P2</x:v>
      </x:c>
      <x:c r="D27" s="304" t="str">
        <x:v>Mandated</x:v>
      </x:c>
      <x:c r="E27" s="304" t="str">
        <x:v>IC-Mandated</x:v>
      </x:c>
      <x:c r="F27" s="304" t="str">
        <x:v>R10-R11</x:v>
      </x:c>
      <x:c r="G27" s="304" t="str">
        <x:v>PAYLOAD-SPECIFIC; CONDITIONAL LINK</x:v>
      </x:c>
      <x:c r="H27" s="304" t="str">
        <x:v>Retain original source-study disposition; no technical selection made by consolidation.</x:v>
      </x:c>
      <x:c r="I27" s="304" t="str">
        <x:v>NEW</x:v>
      </x:c>
      <x:c r="J27" s="304" t="str">
        <x:v>DISR SICD v1.4.0, Volume 3; no normative source inspected</x:v>
      </x:c>
      <x:c r="K27" s="304" t="str">
        <x:v>SICD projection documentation relevant to imagery georeferencing, not equipment lifecycle</x:v>
      </x:c>
    </x:row>
    <x:row r="28" ht="58" customHeight="1">
      <x:c r="A28" s="304" t="str">
        <x:v>JPEO-CBD CCSI v1.1.2U2</x:v>
      </x:c>
      <x:c r="B28" s="304" t="str">
        <x:v>Common Chemical, Biological, Radiological, Nuclear (CBRN) Sensor Interface (CCSI), Version 1.1.2U2, August 2017</x:v>
      </x:c>
      <x:c r="C28" s="304" t="str">
        <x:v>P2</x:v>
      </x:c>
      <x:c r="D28" s="304" t="str">
        <x:v>Retired</x:v>
      </x:c>
      <x:c r="E28" s="304" t="str">
        <x:v>IC-Retired</x:v>
      </x:c>
      <x:c r="F28" s="304" t="str">
        <x:v>R04; R09-R12</x:v>
      </x:c>
      <x:c r="G28" s="304" t="str">
        <x:v>RETIRED HISTORICAL MODALITY COMPARATOR</x:v>
      </x:c>
      <x:c r="H28" s="304" t="str">
        <x:v>Retain original source-study disposition; no technical selection made by consolidation.</x:v>
      </x:c>
      <x:c r="I28" s="304" t="str">
        <x:v>NEW</x:v>
      </x:c>
      <x:c r="J28" s="304" t="str">
        <x:v>DISR CCSI 1.1.2U2, 2017</x:v>
      </x:c>
      <x:c r="K28" s="304" t="str">
        <x:v>CBRN modality-specific device integration, not general MPSS information model</x:v>
      </x:c>
    </x:row>
    <x:row r="29" ht="58" customHeight="1">
      <x:c r="A29" s="304" t="str">
        <x:v>NGA.STND.0060_1.0_OPIRSCM</x:v>
      </x:c>
      <x:c r="B29" s="304" t="str">
        <x:v>Joint OPIR Sensor Collection Management Interface Standard, v1.0.1, 20 September 2016</x:v>
      </x:c>
      <x:c r="C29" s="304" t="str">
        <x:v>P2</x:v>
      </x:c>
      <x:c r="D29" s="304" t="str">
        <x:v>Emerging</x:v>
      </x:c>
      <x:c r="E29" s="304" t="str">
        <x:v>IC-Emerging</x:v>
      </x:c>
      <x:c r="F29" s="304" t="str">
        <x:v>R09; R12</x:v>
      </x:c>
      <x:c r="G29" s="304" t="str">
        <x:v>MISSIONSPECIFIC INTERFACE ONLY</x:v>
      </x:c>
      <x:c r="H29" s="304" t="str">
        <x:v>Retain original source-study disposition; no technical selection made by consolidation.</x:v>
      </x:c>
      <x:c r="I29" s="304" t="str">
        <x:v>NEW</x:v>
      </x:c>
      <x:c r="J29" s="304" t="str">
        <x:v>DISR OPIR collection management v1.0.1</x:v>
      </x:c>
      <x:c r="K29" s="304" t="str">
        <x:v>Overhead persistent infrared sensor tasking domain, not general equipment API</x:v>
      </x:c>
    </x:row>
    <x:row r="30" ht="58" customHeight="1">
      <x:c r="A30" s="304" t="str">
        <x:v>ISO 19130</x:v>
      </x:c>
      <x:c r="B30" s="304" t="str">
        <x:v>19130 Geographic information - Sensor and data models for imagery and gridded data</x:v>
      </x:c>
      <x:c r="C30" s="304" t="str">
        <x:v>P2</x:v>
      </x:c>
      <x:c r="D30" s="304" t="str">
        <x:v>Retired</x:v>
      </x:c>
      <x:c r="E30" s="304" t="str">
        <x:v>IC-TBD</x:v>
      </x:c>
      <x:c r="F30" s="304" t="str">
        <x:v>R07; R10-R11</x:v>
      </x:c>
      <x:c r="G30" s="304" t="str">
        <x:v>RETIRED HISTORICAL GEOMETRY COMPARATOR</x:v>
      </x:c>
      <x:c r="H30" s="304" t="str">
        <x:v>Retain original source-study disposition; no technical selection made by consolidation.</x:v>
      </x:c>
      <x:c r="I30" s="304" t="str">
        <x:v>NEW</x:v>
      </x:c>
      <x:c r="J30" s="304" t="str">
        <x:v>DISR ISO19130 listed Retired</x:v>
      </x:c>
      <x:c r="K30" s="304" t="str">
        <x:v>Spatial referencing for imagery and gridded data; distinguish deployed system location from sampling footprint</x:v>
      </x:c>
    </x:row>
  </x:sheetData>
  <x:pageMargins left="0.7" right="0.7" top="0.75" bottom="0.75" header="0.3" footer="0.3"/>
  <x:tableParts count="1">
    <x:tablePart xmlns:r="http://schemas.openxmlformats.org/officeDocument/2006/relationships" r:id="Rb01ad53e7e764b3b"/>
  </x:tableParts>
</x:worksheet>
</file>

<file path=xl/worksheets/sheet2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43" hidden="0" customWidth="1"/>
    <x:col min="3" max="3" width="42" hidden="0" customWidth="1"/>
    <x:col min="4" max="4" width="68" hidden="0" customWidth="1"/>
    <x:col min="5" max="5" width="14" hidden="0" customWidth="1"/>
    <x:col min="6" max="6" width="48" hidden="0" customWidth="1"/>
    <x:col min="7" max="7" width="52" hidden="0" customWidth="1"/>
  </x:cols>
  <x:sheetData>
    <x:row r="1" ht="38" customHeight="1">
      <x:c r="A1" s="302" t="str">
        <x:v>Source ID</x:v>
      </x:c>
      <x:c r="B1" s="302" t="str">
        <x:v>Artifact</x:v>
      </x:c>
      <x:c r="C1" s="302" t="str">
        <x:v>Role / edition</x:v>
      </x:c>
      <x:c r="D1" s="302" t="str">
        <x:v>SHA-256 or pin boundary</x:v>
      </x:c>
      <x:c r="E1" s="302" t="str">
        <x:v>Bytes</x:v>
      </x:c>
      <x:c r="F1" s="302" t="str">
        <x:v>Verification level</x:v>
      </x:c>
      <x:c r="G1" s="302" t="str">
        <x:v>Locator</x:v>
      </x:c>
    </x:row>
    <x:row r="2" ht="58" customHeight="1">
      <x:c r="A2" s="304" t="str">
        <x:v>S114</x:v>
      </x:c>
      <x:c r="B2" s="304" t="str">
        <x:v>c239_5.pdf</x:v>
      </x:c>
      <x:c r="C2" s="304" t="str">
        <x:v>Adopted Edition 1.1 SOSA Technical Standard C239 (403 PDF pages)</x:v>
      </x:c>
      <x:c r="D2" s="304" t="str">
        <x:v>8c5adc9c28a686ece8ac50ce6c6738de7aa6c7785803adc4bb3457693a3e74ed</x:v>
      </x:c>
      <x:c r="E2" s="304" t="n">
        <x:v>5991053</x:v>
      </x:c>
      <x:c r="F2" s="304" t="str">
        <x:v>Hash supplied by completed study; underlying publisher file not re-hashed here.</x:v>
      </x:c>
      <x:c r="G2" s="304" t="str">
        <x:v>SOSA Source and QA Provenance v1.0</x:v>
      </x:c>
    </x:row>
    <x:row r="3" ht="58" customHeight="1">
      <x:c r="A3" s="304" t="str">
        <x:v>S115</x:v>
      </x:c>
      <x:c r="B3" s="304" t="str">
        <x:v>sosa_techstd_v1_dsdm.pdf</x:v>
      </x:c>
      <x:c r="C3" s="304" t="str">
        <x:v>C239 Appendix B.1 named v1.0 DSDM: conceptual/logical/physical model (152 pages)</x:v>
      </x:c>
      <x:c r="D3" s="304" t="str">
        <x:v>35fe3e9aeb3bc3316a43592782fc686254b6583565d0cc43f000d28374ef39f7</x:v>
      </x:c>
      <x:c r="E3" s="304" t="n">
        <x:v>2159835</x:v>
      </x:c>
      <x:c r="F3" s="304" t="str">
        <x:v>Hash supplied by completed study; underlying publisher file not re-hashed here.</x:v>
      </x:c>
      <x:c r="G3" s="304" t="str">
        <x:v>SOSA Source and QA Provenance v1.0</x:v>
      </x:c>
    </x:row>
    <x:row r="4" ht="58" customHeight="1">
      <x:c r="A4" s="304" t="str">
        <x:v>S115</x:v>
      </x:c>
      <x:c r="B4" s="304" t="str">
        <x:v>sosa_techstd_v1_dsdm_idl.zip</x:v>
      </x:c>
      <x:c r="C4" s="304" t="str">
        <x:v>C239 Appendix B.1 model IDL (227 IDL files)</x:v>
      </x:c>
      <x:c r="D4" s="304" t="str">
        <x:v>ef53831fc246a8af72d217c83d63d507972e237443254342927f7a0257ae85cc</x:v>
      </x:c>
      <x:c r="E4" s="304" t="n">
        <x:v>107618</x:v>
      </x:c>
      <x:c r="F4" s="304" t="str">
        <x:v>Hash supplied by completed study; underlying publisher file not re-hashed here.</x:v>
      </x:c>
      <x:c r="G4" s="304" t="str">
        <x:v>SOSA Source and QA Provenance v1.0</x:v>
      </x:c>
    </x:row>
    <x:row r="5" ht="58" customHeight="1">
      <x:c r="A5" s="304" t="str">
        <x:v>S116</x:v>
      </x:c>
      <x:c r="B5" s="304" t="str">
        <x:v>v1.0_json_files.zip</x:v>
      </x:c>
      <x:c r="C5" s="304" t="str">
        <x:v>C239 Appendix B.2–B.7: six in-band management OAS 3.0.0 files</x:v>
      </x:c>
      <x:c r="D5" s="304" t="str">
        <x:v>3ddd5cca9bb94f9264f38da573a329b86836c06d2d33b1f0e32e6ada00d0eff4</x:v>
      </x:c>
      <x:c r="E5" s="304" t="n">
        <x:v>41792</x:v>
      </x:c>
      <x:c r="F5" s="304" t="str">
        <x:v>Hash supplied by completed study; underlying publisher file not re-hashed here.</x:v>
      </x:c>
      <x:c r="G5" s="304" t="str">
        <x:v>SOSA Source and QA Provenance v1.0</x:v>
      </x:c>
    </x:row>
    <x:row r="6" ht="58" customHeight="1">
      <x:c r="A6" s="304" t="str">
        <x:v>S117</x:v>
      </x:c>
      <x:c r="B6" s="304" t="str">
        <x:v>sosa_ts_ed.2_v.3_bundle.zip</x:v>
      </x:c>
      <x:c r="C6" s="304" t="str">
        <x:v>Edition 2.0 Snapshot 3 (S251) all-additional publisher bundle</x:v>
      </x:c>
      <x:c r="D6" s="304" t="str">
        <x:v>24d122d526c1a1ca257f81777c054485adeb935403b380201711469e34307e1a</x:v>
      </x:c>
      <x:c r="E6" s="304" t="n">
        <x:v>92529127</x:v>
      </x:c>
      <x:c r="F6" s="304" t="str">
        <x:v>Hash supplied by completed study; underlying publisher file not re-hashed here.</x:v>
      </x:c>
      <x:c r="G6" s="304" t="str">
        <x:v>SOSA Source and QA Provenance v1.0</x:v>
      </x:c>
    </x:row>
    <x:row r="7" ht="58" customHeight="1">
      <x:c r="A7" s="304" t="str">
        <x:v>S97</x:v>
      </x:c>
      <x:c r="B7" s="304" t="str">
        <x:v>SOURCE_OGC_20-082r4_OMS3_APPROVED_USER_SUPPLIED.pdf</x:v>
      </x:c>
      <x:c r="C7" s="304" t="str">
        <x:v>Approved OMS 3.0 supplied PDF</x:v>
      </x:c>
      <x:c r="D7" s="304" t="str">
        <x:v>6eefa8dd843d5a8c2dc29e481bf693d1b6d83ee1f96e065db4c1eed204cabebf</x:v>
      </x:c>
      <x:c r="E7" s="304" t="n">
        <x:v>11049351</x:v>
      </x:c>
      <x:c r="F7" s="304" t="str">
        <x:v>Verified from actual supplied bytes in this consolidation.</x:v>
      </x:c>
      <x:c r="G7" s="304" t="str">
        <x:v>Completed OMS source packet</x:v>
      </x:c>
    </x:row>
    <x:row r="8" ht="58" customHeight="1">
      <x:c r="A8" s="304" t="str">
        <x:v>S25</x:v>
      </x:c>
      <x:c r="B8" s="304" t="str">
        <x:v>DISR_20261010_recovered_parsed_snapshot.csv</x:v>
      </x:c>
      <x:c r="C8" s="304" t="str">
        <x:v>Complete 5,253-record reconstructed baseline</x:v>
      </x:c>
      <x:c r="D8" s="304" t="str">
        <x:v>d688d3dce84a96f04b7c9686b3823e619d8c8760bba24ef91841f74b8e06ab6d</x:v>
      </x:c>
      <x:c r="E8" s="304" t="n">
        <x:v>1122021</x:v>
      </x:c>
      <x:c r="F8" s="304" t="str">
        <x:v>Verified reconstructed bytes; not the original export file bytes.</x:v>
      </x:c>
      <x:c r="G8" s="304" t="str">
        <x:v>SOSA data + original source authority</x:v>
      </x:c>
    </x:row>
    <x:row r="9" ht="58" customHeight="1">
      <x:c r="A9" s="304" t="str">
        <x:v>S111</x:v>
      </x:c>
      <x:c r="B9" s="304" t="str">
        <x:v>SAPIENT-Proto-Files: bsi_flex_335_v2_0</x:v>
      </x:c>
      <x:c r="C9" s="304" t="str">
        <x:v>Commit 244a741c13bcee628f84944aef91e4a66854bd7d; v2 folder</x:v>
      </x:c>
      <x:c r="D9" s="304" t="str">
        <x:v>Not a newly hashed publisher byte copy</x:v>
      </x:c>
      <x:c r="E9" s="304"/>
      <x:c r="F9" s="304" t="str">
        <x:v>Primary implementation schema inspected in completed study; commit and blob register retained.</x:v>
      </x:c>
      <x:c r="G9" s="304" t="str">
        <x:v>https://github.com/dstl/SAPIENT-Proto-Files/tree/244a741c13bcee628f84944aef91e4a66854bd7d/bsi_flex_335_v2_0</x:v>
      </x:c>
    </x:row>
    <x:row r="10" ht="58" customHeight="1">
      <x:c r="A10" s="304" t="str">
        <x:v>S112</x:v>
      </x:c>
      <x:c r="B10" s="304" t="str">
        <x:v>BSI-Flex-335-v2-Test-Harness</x:v>
      </x:c>
      <x:c r="C10" s="304" t="str">
        <x:v>README v5.2.4; commit 6a2999d70d761d224914ddd8fa3f663af5005be0</x:v>
      </x:c>
      <x:c r="D10" s="304" t="str">
        <x:v>Not a newly hashed publisher byte copy</x:v>
      </x:c>
      <x:c r="E10" s="304"/>
      <x:c r="F10" s="304" t="str">
        <x:v>Developer documentation inspected; tool not run.</x:v>
      </x:c>
      <x:c r="G10" s="304" t="str">
        <x:v>https://github.com/dstl/BSI-Flex-335-v2-Test-Harness/tree/6a2999d70d761d224914ddd8fa3f663af5005be0</x:v>
      </x:c>
    </x:row>
    <x:row r="11" ht="58" customHeight="1">
      <x:c r="A11" s="304" t="str">
        <x:v>S113</x:v>
      </x:c>
      <x:c r="B11" s="304" t="str">
        <x:v>Apex-SAPIENT-Middleware</x:v>
      </x:c>
      <x:c r="C11" s="304" t="str">
        <x:v>Commit 0c8591ae97f2dc336eff299845880d5c73ee75b7</x:v>
      </x:c>
      <x:c r="D11" s="304" t="str">
        <x:v>Not a newly hashed publisher byte copy</x:v>
      </x:c>
      <x:c r="E11" s="304"/>
      <x:c r="F11" s="304" t="str">
        <x:v>Implementation documentation and selected server source inspected; not run.</x:v>
      </x:c>
      <x:c r="G11" s="304" t="str">
        <x:v>https://github.com/dstl/Apex-SAPIENT-Middleware/tree/0c8591ae97f2dc336eff299845880d5c73ee75b7</x:v>
      </x:c>
    </x:row>
    <x:row r="12" ht="58" customHeight="1">
      <x:c r="A12" s="304" t="str">
        <x:v>S121</x:v>
      </x:c>
      <x:c r="B12" s="304" t="str">
        <x:v>CSAPI Part 1 v1.0 property-definition JSON schema subset</x:v>
      </x:c>
      <x:c r="C12" s="304" t="str">
        <x:v>Part 1 / v1.0</x:v>
      </x:c>
      <x:c r="D12" s="304" t="str">
        <x:v>Not a newly hashed publisher byte copy</x:v>
      </x:c>
      <x:c r="E12" s="304"/>
      <x:c r="F12" s="304" t="str">
        <x:v>Selected public schemas inspected in approved increment; raw publisher bytes/dependency closure not fully recovered.</x:v>
      </x:c>
      <x:c r="G12" s="304" t="str">
        <x:v>https://schemas.opengis.net/ogcapi/connected-systems/part1/1.0/openapi/schemas/sensorml/property.json</x:v>
      </x:c>
    </x:row>
    <x:row r="13" ht="58" customHeight="1">
      <x:c r="A13" s="304" t="str">
        <x:v>S122</x:v>
      </x:c>
      <x:c r="B13" s="304" t="str">
        <x:v>CSAPI Part 2 v1.0 DataStream and Observation JSON schema subset</x:v>
      </x:c>
      <x:c r="C13" s="304" t="str">
        <x:v>Part 2 / v1.0</x:v>
      </x:c>
      <x:c r="D13" s="304" t="str">
        <x:v>Not a newly hashed publisher byte copy</x:v>
      </x:c>
      <x:c r="E13" s="304"/>
      <x:c r="F13" s="304" t="str">
        <x:v>Selected public schemas inspected in approved increment; raw publisher bytes/dependency closure not fully recovered.</x:v>
      </x:c>
      <x:c r="G13" s="304" t="str">
        <x:v>https://schemas.opengis.net/ogcapi/connected-systems/part2/1.0/openapi/schemas/json/dataStream.json</x:v>
      </x:c>
    </x:row>
    <x:row r="14" ht="58" customHeight="1">
      <x:c r="A14" s="304" t="str">
        <x:v>S123</x:v>
      </x:c>
      <x:c r="B14" s="304" t="str">
        <x:v>SWE Common 3.0 Quantity and basic-types JSON schema subset</x:v>
      </x:c>
      <x:c r="C14" s="304" t="str">
        <x:v>SWE Common 3.0</x:v>
      </x:c>
      <x:c r="D14" s="304" t="str">
        <x:v>Not a newly hashed publisher byte copy</x:v>
      </x:c>
      <x:c r="E14" s="304"/>
      <x:c r="F14" s="304" t="str">
        <x:v>Selected public schemas inspected in approved increment; raw publisher bytes/dependency closure not fully recovered.</x:v>
      </x:c>
      <x:c r="G14" s="304" t="str">
        <x:v>https://schemas.opengis.net/sweCommon/3.0/json/Quantity.json</x:v>
      </x:c>
    </x:row>
    <x:row r="15" ht="135" customHeight="1">
      <x:c r="A15" s="223" t="str">
        <x:v>S138</x:v>
      </x:c>
      <x:c r="B15" s="223" t="str">
        <x:v>OSCAR viewer</x:v>
      </x:c>
      <x:c r="C15" s="223" t="str">
        <x:v>Pinned reviewed source</x:v>
      </x:c>
      <x:c r="D15" s="223" t="str">
        <x:v>4b49c7cedc841c875dbb63613dfd21c34b8fa6ed</x:v>
      </x:c>
      <x:c r="E15" s="223"/>
      <x:c r="F15" s="223" t="str">
        <x:v>Selected code paths</x:v>
      </x:c>
      <x:c r="G15" s="223" t="str">
        <x:v>https://github.com/Botts-Innovative-Research/oscar-viewer/tree/4b49c7cedc841c875dbb63613dfd21c34b8fa6ed</x:v>
      </x:c>
    </x:row>
    <x:row r="16" ht="135" customHeight="1">
      <x:c r="A16" s="223" t="str">
        <x:v>S139</x:v>
      </x:c>
      <x:c r="B16" s="223" t="str">
        <x:v>OSCAR modules</x:v>
      </x:c>
      <x:c r="C16" s="223" t="str">
        <x:v>Pinned reviewed source</x:v>
      </x:c>
      <x:c r="D16" s="223" t="str">
        <x:v>817f408a017302387f4f427b9b7f8ec5bcb62c70</x:v>
      </x:c>
      <x:c r="E16" s="223"/>
      <x:c r="F16" s="223" t="str">
        <x:v>Selected code and examples</x:v>
      </x:c>
      <x:c r="G16" s="223" t="str">
        <x:v>https://github.com/Botts-Innovative-Research/osh-oakridge-modules/tree/817f408a017302387f4f427b9b7f8ec5bcb62c70</x:v>
      </x:c>
    </x:row>
    <x:row r="17" ht="135" customHeight="1">
      <x:c r="A17" s="223" t="str">
        <x:v>S140</x:v>
      </x:c>
      <x:c r="B17" s="223" t="str">
        <x:v>OSCAR buildnode/manual</x:v>
      </x:c>
      <x:c r="C17" s="223" t="str">
        <x:v>Pinned reviewed source</x:v>
      </x:c>
      <x:c r="D17" s="223" t="str">
        <x:v>ab8b847b662152bd949157197182bfdf8c429d21</x:v>
      </x:c>
      <x:c r="E17" s="223"/>
      <x:c r="F17" s="223" t="str">
        <x:v>Selected documentation</x:v>
      </x:c>
      <x:c r="G17" s="223" t="str">
        <x:v>https://github.com/Botts-Innovative-Research/osh-oakridge-buildnode/tree/ab8b847b662152bd949157197182bfdf8c429d21</x:v>
      </x:c>
    </x:row>
  </x:sheetData>
  <x:pageMargins left="0.7" right="0.7" top="0.75" bottom="0.75" header="0.3" footer="0.3"/>
  <x:tableParts count="1">
    <x:tablePart xmlns:r="http://schemas.openxmlformats.org/officeDocument/2006/relationships" r:id="R8a27ac5737a74f16"/>
  </x:tableParts>
</x:worksheet>
</file>

<file path=xl/worksheets/sheet2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32" hidden="0" customWidth="1"/>
    <x:col min="3" max="3" width="21" hidden="0" customWidth="1"/>
    <x:col min="4" max="4" width="58" hidden="0" customWidth="1"/>
    <x:col min="5" max="5" width="58" hidden="0" customWidth="1"/>
    <x:col min="6" max="6" width="48" hidden="0" customWidth="1"/>
  </x:cols>
  <x:sheetData>
    <x:row r="1" ht="38" customHeight="1">
      <x:c r="A1" s="302" t="str">
        <x:v>Action</x:v>
      </x:c>
      <x:c r="B1" s="302" t="str">
        <x:v>Artifact/sheet</x:v>
      </x:c>
      <x:c r="C1" s="302" t="str">
        <x:v>Location / ID</x:v>
      </x:c>
      <x:c r="D1" s="302" t="str">
        <x:v>Before</x:v>
      </x:c>
      <x:c r="E1" s="302" t="str">
        <x:v>After</x:v>
      </x:c>
      <x:c r="F1" s="302" t="str">
        <x:v>Reason / boundary</x:v>
      </x:c>
    </x:row>
    <x:row r="2" ht="58" customHeight="1">
      <x:c r="A2" s="304" t="str">
        <x:v>UPDATE</x:v>
      </x:c>
      <x:c r="B2" s="304" t="str">
        <x:v>Sources</x:v>
      </x:c>
      <x:c r="C2" s="304" t="str">
        <x:v>row 102, col 5</x:v>
      </x:c>
      <x:c r="D2" s="304" t="str">
        <x:v>OMS 3.0 / ISO 19156:2023</x:v>
      </x:c>
      <x:c r="E2" s="304" t="str">
        <x:v>OGC 20-082r4, v3.0.0 (2023); ISO 19156:2023 alignment</x:v>
      </x:c>
      <x:c r="F2" s="304" t="str">
        <x:v>OMS completed source review closes prior access gate; source ID retained.</x:v>
      </x:c>
    </x:row>
    <x:row r="3" ht="58" customHeight="1">
      <x:c r="A3" s="304" t="str">
        <x:v>UPDATE</x:v>
      </x:c>
      <x:c r="B3" s="304" t="str">
        <x:v>Sources</x:v>
      </x:c>
      <x:c r="C3" s="304" t="str">
        <x:v>row 102, col 7</x:v>
      </x:c>
      <x:c r="D3" s="304" t="str">
        <x:v>Normative access gate; publication / proxies only</x:v>
      </x:c>
      <x:c r="E3" s="304" t="str">
        <x:v>SOURCE ACCESS CLOSED — full primary PDF reviewed in completed OMS study.</x:v>
      </x:c>
      <x:c r="F3" s="304" t="str">
        <x:v>OMS completed source review closes prior access gate; source ID retained.</x:v>
      </x:c>
    </x:row>
    <x:row r="4" ht="58" customHeight="1">
      <x:c r="A4" s="304" t="str">
        <x:v>UPDATE</x:v>
      </x:c>
      <x:c r="B4" s="304" t="str">
        <x:v>Sources</x:v>
      </x:c>
      <x:c r="C4" s="304" t="str">
        <x:v>row 102, col 8</x:v>
      </x:c>
      <x:c r="D4" s="304" t="str">
        <x:v>Official publication metadata and section structure inspected; full 12.25 MB normative text inaccessible to workstream</x:v>
      </x:c>
      <x:c r="E4" s="304" t="str">
        <x:v>Complete approved OGC 20-082r4 v3.0.0, 198-page supplied PDF; §§4–13 and Annex A inspected in 15 Oct OMS study.</x:v>
      </x:c>
      <x:c r="F4" s="304" t="str">
        <x:v>OMS completed source review closes prior access gate; source ID retained.</x:v>
      </x:c>
    </x:row>
    <x:row r="5" ht="58" customHeight="1">
      <x:c r="A5" s="304" t="str">
        <x:v>UPDATE</x:v>
      </x:c>
      <x:c r="B5" s="304" t="str">
        <x:v>Sources</x:v>
      </x:c>
      <x:c r="C5" s="304" t="str">
        <x:v>row 102, col 10</x:v>
      </x:c>
      <x:c r="D5" s="304" t="str">
        <x:v>Semantic clarification / targeted mapping source, no new ontology runtime</x:v>
      </x:c>
      <x:c r="E5" s="304" t="str">
        <x:v>Semantic clarification partly applied through v0.3.5; no mandatory OMS runtime or ObservingCapability binding.</x:v>
      </x:c>
      <x:c r="F5" s="304" t="str">
        <x:v>OMS completed source review closes prior access gate; source ID retained.</x:v>
      </x:c>
    </x:row>
    <x:row r="6" ht="58" customHeight="1">
      <x:c r="A6" s="304" t="str">
        <x:v>UPDATE</x:v>
      </x:c>
      <x:c r="B6" s="304" t="str">
        <x:v>Sources</x:v>
      </x:c>
      <x:c r="C6" s="304" t="str">
        <x:v>row 102, col 12</x:v>
      </x:c>
      <x:c r="D6" s="304" t="str">
        <x:v>2026-10-14</x:v>
      </x:c>
      <x:c r="E6" s="304" t="str">
        <x:v>2026-10-15; consolidated 2026-10-17</x:v>
      </x:c>
      <x:c r="F6" s="304" t="str">
        <x:v>OMS completed source review closes prior access gate; source ID retained.</x:v>
      </x:c>
    </x:row>
    <x:row r="7" ht="58" customHeight="1">
      <x:c r="A7" s="304" t="str">
        <x:v>UPDATE</x:v>
      </x:c>
      <x:c r="B7" s="304" t="str">
        <x:v>Sources</x:v>
      </x:c>
      <x:c r="C7" s="304" t="str">
        <x:v>row 102, col 13</x:v>
      </x:c>
      <x:c r="D7" s="304" t="str">
        <x:v>Foundational-semantics assessment A and evidence register D, 14 October 2026</x:v>
      </x:c>
      <x:c r="E7" s="304" t="str">
        <x:v>Completed OMS A–D v1.0; SHA-256 6eefa8dd843d5a8c2dc29e481bf693d1b6d83ee1f96e065db4c1eed204cabebf; supersedes 14 Oct access limit.</x:v>
      </x:c>
      <x:c r="F7" s="304" t="str">
        <x:v>OMS completed source review closes prior access gate; source ID retained.</x:v>
      </x:c>
    </x:row>
    <x:row r="8" ht="58" customHeight="1">
      <x:c r="A8" s="304" t="str">
        <x:v>UPDATE</x:v>
      </x:c>
      <x:c r="B8" s="304" t="str">
        <x:v>Openness</x:v>
      </x:c>
      <x:c r="C8" s="304" t="str">
        <x:v>row 102, col 3</x:v>
      </x:c>
      <x:c r="D8" s="304" t="str">
        <x:v>Normative access gate; publication / proxies only</x:v>
      </x:c>
      <x:c r="E8" s="304" t="str">
        <x:v>SOURCE ACCESS CLOSED — full primary PDF reviewed in completed OMS study.</x:v>
      </x:c>
      <x:c r="F8" s="304" t="str">
        <x:v>OMS evidence correction; rights not inferred.</x:v>
      </x:c>
    </x:row>
    <x:row r="9" ht="58" customHeight="1">
      <x:c r="A9" s="304" t="str">
        <x:v>UPDATE</x:v>
      </x:c>
      <x:c r="B9" s="304" t="str">
        <x:v>Openness</x:v>
      </x:c>
      <x:c r="C9" s="304" t="str">
        <x:v>row 102, col 7</x:v>
      </x:c>
      <x:c r="D9" s="304" t="str">
        <x:v>Official publication metadata and section structure inspected; full 12.25 MB normative text inaccessible to workstream</x:v>
      </x:c>
      <x:c r="E9" s="304" t="str">
        <x:v>Complete approved OGC 20-082r4 v3.0.0, 198-page supplied PDF; §§4–13 and Annex A inspected in 15 Oct OMS study.</x:v>
      </x:c>
      <x:c r="F9" s="304" t="str">
        <x:v>OMS evidence correction; rights not inferred.</x:v>
      </x:c>
    </x:row>
    <x:row r="10" ht="60" customHeight="1">
      <x:c r="A10" s="304" t="str">
        <x:v>UPDATE</x:v>
      </x:c>
      <x:c r="B10" s="304" t="str">
        <x:v>Openness</x:v>
      </x:c>
      <x:c r="C10" s="304" t="str">
        <x:v>row 102, col 9</x:v>
      </x:c>
      <x:c r="D10" s="304" t="str">
        <x:v>Check publication/encoding redistribution terms only if this exact source is selected; Exact approved ObservingCapability §10.5 requirements, multiplicities and binding obligations remain unverified.</x:v>
      </x:c>
      <x:c r="E10" s="304" t="str">
        <x:v>Publisher rights still govern copying. Source access resolved; optional binding and exact claimed requirements remain separate choices.</x:v>
      </x:c>
      <x:c r="F10" s="304" t="str">
        <x:v>OMS evidence correction; rights not inferred.</x:v>
      </x:c>
    </x:row>
    <x:row r="11" ht="58" customHeight="1">
      <x:c r="A11" s="304" t="str">
        <x:v>UPDATE</x:v>
      </x:c>
      <x:c r="B11" s="304" t="str">
        <x:v>Intended Use</x:v>
      </x:c>
      <x:c r="C11" s="304" t="str">
        <x:v>row 102, col 4</x:v>
      </x:c>
      <x:c r="D11" s="304" t="str">
        <x:v>Semantic clarification / targeted mapping source, no new ontology runtime</x:v>
      </x:c>
      <x:c r="E11" s="304" t="str">
        <x:v>OMS-informed semantic use in current OGC profile; no new native OMS target.</x:v>
      </x:c>
      <x:c r="F11" s="304" t="str">
        <x:v>Source access and actual implementation scope reconciled.</x:v>
      </x:c>
    </x:row>
    <x:row r="12" ht="58" customHeight="1">
      <x:c r="A12" s="304" t="str">
        <x:v>UPDATE</x:v>
      </x:c>
      <x:c r="B12" s="304" t="str">
        <x:v>Intended Use</x:v>
      </x:c>
      <x:c r="C12" s="304" t="str">
        <x:v>row 102, col 5</x:v>
      </x:c>
      <x:c r="D12" s="304" t="str">
        <x:v>Official publication metadata and section structure inspected; full 12.25 MB normative text inaccessible to workstream</x:v>
      </x:c>
      <x:c r="E12" s="304" t="str">
        <x:v>Complete approved OGC 20-082r4 v3.0.0, 198-page supplied PDF; §§4–13 and Annex A inspected in 15 Oct OMS study.</x:v>
      </x:c>
      <x:c r="F12" s="304" t="str">
        <x:v>Source access and actual implementation scope reconciled.</x:v>
      </x:c>
    </x:row>
    <x:row r="13" ht="125" customHeight="1">
      <x:c r="A13" s="304" t="str">
        <x:v>UPDATE</x:v>
      </x:c>
      <x:c r="B13" s="304" t="str">
        <x:v>Intended Use</x:v>
      </x:c>
      <x:c r="C13" s="304" t="str">
        <x:v>row 102, col 6</x:v>
      </x:c>
      <x:c r="D13" s="304" t="str">
        <x:v>Observer, observing procedure, host, deployment, observation characteristics, capability and sample distinctions. Strong foundational model for avoiding confusion among produced data, process descriptions and deployment participation. Exact approved ObservingCapability §10.5 requirements, multiplicities and binding obligations remain unverified. Optional linked meaning or relationship clarification; mere use of a class/URI is neither complete OWL implementation nor a new OMS/CSAPI conformance class.</x:v>
      </x:c>
      <x:c r="E13" s="304" t="str">
        <x:v>/req/obs-basic/ObservingCapability; imports /req/obs-basic/ObservationCharacteristics and inherited abstract-core/NamedValue; ISO 19103/19108 dependencies; Annex A.3.10 documentation inspection. These are conditional native OMS model claims, not automatic CSAPI JSON conformance. Approved semantic refinements reflected in v0.3.5; CSAPI multiple-property packaging is not blanket OMS Observation equivalence.</x:v>
      </x:c>
      <x:c r="F13" s="304" t="str">
        <x:v>Source access and actual implementation scope reconciled.</x:v>
      </x:c>
    </x:row>
    <x:row r="14" ht="58" customHeight="1">
      <x:c r="A14" s="304" t="str">
        <x:v>UPDATE</x:v>
      </x:c>
      <x:c r="B14" s="304" t="str">
        <x:v>Intended Use</x:v>
      </x:c>
      <x:c r="C14" s="304" t="str">
        <x:v>row 102, col 8</x:v>
      </x:c>
      <x:c r="D14" s="304" t="str">
        <x:v>Source-bounded comparison; no executed cross-vendor integration or profile acceptance</x:v>
      </x:c>
      <x:c r="E14" s="304" t="str">
        <x:v>Completed normative source analysis; no executed interoperability test.</x:v>
      </x:c>
      <x:c r="F14" s="304" t="str">
        <x:v>Source access and actual implementation scope reconciled.</x:v>
      </x:c>
    </x:row>
    <x:row r="15" ht="58" customHeight="1">
      <x:c r="A15" s="304" t="str">
        <x:v>UPDATE</x:v>
      </x:c>
      <x:c r="B15" s="304" t="str">
        <x:v>Conformance Plan</x:v>
      </x:c>
      <x:c r="C15" s="304" t="str">
        <x:v>row 102, col 3</x:v>
      </x:c>
      <x:c r="D15" s="304" t="str">
        <x:v>Semantic clarification / targeted mapping source, no new ontology runtime</x:v>
      </x:c>
      <x:c r="E15" s="304" t="str">
        <x:v>SOURCE GATE CLOSED; semantic contributions partly applied</x:v>
      </x:c>
      <x:c r="F15" s="304" t="str">
        <x:v>Replace obsolete OMS access limitation with exact conditional conformance boundary.</x:v>
      </x:c>
    </x:row>
    <x:row r="16" ht="58" customHeight="1">
      <x:c r="A16" s="304" t="str">
        <x:v>UPDATE</x:v>
      </x:c>
      <x:c r="B16" s="304" t="str">
        <x:v>Conformance Plan</x:v>
      </x:c>
      <x:c r="C16" s="304" t="str">
        <x:v>row 102, col 4</x:v>
      </x:c>
      <x:c r="D16" s="304" t="str">
        <x:v>Selected OGC profile content if approved; original native target only when expressly chosen</x:v>
      </x:c>
      <x:c r="E16" s="304" t="str">
        <x:v>Current OGC profile; OMS application-schema/model/profile target only if expressly claimed.</x:v>
      </x:c>
      <x:c r="F16" s="304" t="str">
        <x:v>Replace obsolete OMS access limitation with exact conditional conformance boundary.</x:v>
      </x:c>
    </x:row>
    <x:row r="17" ht="86" customHeight="1">
      <x:c r="A17" s="304" t="str">
        <x:v>UPDATE</x:v>
      </x:c>
      <x:c r="B17" s="304" t="str">
        <x:v>Conformance Plan</x:v>
      </x:c>
      <x:c r="C17" s="304" t="str">
        <x:v>row 102, col 5</x:v>
      </x:c>
      <x:c r="D17" s="304" t="str">
        <x:v>Source edition and provisions: OMS 3.0 / ISO 19156:2023; evidence: Official publication metadata and section structure inspected; full 12.25 MB normative text inaccessible to workstream. Dependencies and exact native compliance groups remain conditional, especially for proprietary standards.</x:v>
      </x:c>
      <x:c r="E17" s="304" t="str">
        <x:v>/req/obs-basic/ObservingCapability; imports /req/obs-basic/ObservationCharacteristics and inherited abstract-core/NamedValue; ISO 19103/19108 dependencies; Annex A.3.10 documentation inspection. These are conditional native OMS model claims, not automatic CSAPI JSON conformance.</x:v>
      </x:c>
      <x:c r="F17" s="304" t="str">
        <x:v>Replace obsolete OMS access limitation with exact conditional conformance boundary.</x:v>
      </x:c>
    </x:row>
    <x:row r="18" ht="58" customHeight="1">
      <x:c r="A18" s="304" t="str">
        <x:v>UPDATE</x:v>
      </x:c>
      <x:c r="B18" s="304" t="str">
        <x:v>Conformance Plan</x:v>
      </x:c>
      <x:c r="C18" s="304" t="str">
        <x:v>row 102, col 7</x:v>
      </x:c>
      <x:c r="D18" s="304" t="str">
        <x:v>Optional linked meaning or relationship clarification; mere use of a class/URI is neither complete OWL implementation nor a new OMS/CSAPI conformance class.</x:v>
      </x:c>
      <x:c r="E18" s="304" t="str">
        <x:v>Selected OMS-informed interpretation through native OGC carriers; no new endpoint or blanket equivalence.</x:v>
      </x:c>
      <x:c r="F18" s="304" t="str">
        <x:v>Replace obsolete OMS access limitation with exact conditional conformance boundary.</x:v>
      </x:c>
    </x:row>
    <x:row r="19" ht="58" customHeight="1">
      <x:c r="A19" s="304" t="str">
        <x:v>UPDATE</x:v>
      </x:c>
      <x:c r="B19" s="304" t="str">
        <x:v>Conformance Plan</x:v>
      </x:c>
      <x:c r="C19" s="304" t="str">
        <x:v>row 102, col 8</x:v>
      </x:c>
      <x:c r="D19" s="304" t="str">
        <x:v>Revisit only if binding/meaning might change; Exact approved ObservingCapability §10.5 requirements, multiplicities and binding obligations remain unverified.</x:v>
      </x:c>
      <x:c r="E19" s="304" t="str">
        <x:v>Only optional deployment-qualified prospective coverage remains conditional; not missing source text.</x:v>
      </x:c>
      <x:c r="F19" s="304" t="str">
        <x:v>Replace obsolete OMS access limitation with exact conditional conformance boundary.</x:v>
      </x:c>
    </x:row>
    <x:row r="20" ht="58" customHeight="1">
      <x:c r="A20" s="304" t="str">
        <x:v>UPDATE</x:v>
      </x:c>
      <x:c r="B20" s="304" t="str">
        <x:v>Sources</x:v>
      </x:c>
      <x:c r="C20" s="304" t="str">
        <x:v>row 6, col 10</x:v>
      </x:c>
      <x:c r="D20" s="304" t="str">
        <x:v>Native OGC description and deployed-system foundation</x:v>
      </x:c>
      <x:c r="E20" s="304" t="str">
        <x:v>Native OGC descriptive baseline; approved refinements through v0.3.5.</x:v>
      </x:c>
      <x:c r="F20" s="304" t="str">
        <x:v>Applied-design/source reconciliation, not new normative adoption.</x:v>
      </x:c>
    </x:row>
    <x:row r="21" ht="58" customHeight="1">
      <x:c r="A21" s="304" t="str">
        <x:v>UPDATE</x:v>
      </x:c>
      <x:c r="B21" s="304" t="str">
        <x:v>Sources</x:v>
      </x:c>
      <x:c r="C21" s="304" t="str">
        <x:v>row 6, col 13</x:v>
      </x:c>
      <x:c r="D21" s="304" t="str">
        <x:v>—</x:v>
      </x:c>
      <x:c r="E21" s="304" t="str">
        <x:v>— | 17 Oct update: Later selected checks: §§8.8.1–8.8.2, Mode/DescribedObject/Settings and DerivedProperty schemas; see S59.</x:v>
      </x:c>
      <x:c r="F21" s="304" t="str">
        <x:v>Dated supplementary inspection/status note.</x:v>
      </x:c>
    </x:row>
    <x:row r="22" ht="60" customHeight="1">
      <x:c r="A22" s="304" t="str">
        <x:v>UPDATE</x:v>
      </x:c>
      <x:c r="B22" s="304" t="str">
        <x:v>Conformance Plan</x:v>
      </x:c>
      <x:c r="C22" s="304" t="str">
        <x:v>row 6, col 3</x:v>
      </x:c>
      <x:c r="D22" s="304" t="str">
        <x:v>Native OGC description and deployed-system foundation</x:v>
      </x:c>
      <x:c r="E22" s="304" t="str">
        <x:v>Native OGC descriptive baseline; approved refinements through v0.3.5. Later selected checks: §§8.8.1–8.8.2, Mode/DescribedObject/Settings and DerivedProperty schemas; see S59.</x:v>
      </x:c>
      <x:c r="F22" s="304" t="str">
        <x:v>Current implementation boundary; historic version preserved.</x:v>
      </x:c>
    </x:row>
    <x:row r="23" ht="112" customHeight="1">
      <x:c r="A23" s="304" t="str">
        <x:v>UPDATE</x:v>
      </x:c>
      <x:c r="B23" s="304" t="str">
        <x:v>Intended Use</x:v>
      </x:c>
      <x:c r="C23" s="304" t="str">
        <x:v>row 6, col 8</x:v>
      </x:c>
      <x:c r="D23" s="304" t="str">
        <x:v>The proposed native implementation is SensorML 3.0 document production and consumption, not merely similar-looking JSON. For a physical-system case, identify /req/json-physical-system, its inherited classes and SWE dependencies, and the applicable Annex A assessments. Passing one document schema is narrower than demonstrating software or model conformance; no such complete assessment has run here (Open Geospatial Consortium 2025c, §2, §9, annex A.3).</x:v>
      </x:c>
      <x:c r="E23" s="304" t="str">
        <x:v>Native OGC descriptive baseline; approved refinements through v0.3.5. Later selected checks: §§8.8.1–8.8.2, Mode/DescribedObject/Settings and DerivedProperty schemas; see S59.</x:v>
      </x:c>
      <x:c r="F23" s="304" t="str">
        <x:v>Current implementation boundary; historic version preserved.</x:v>
      </x:c>
    </x:row>
    <x:row r="24" ht="58" customHeight="1">
      <x:c r="A24" s="304" t="str">
        <x:v>UPDATE</x:v>
      </x:c>
      <x:c r="B24" s="304" t="str">
        <x:v>Sources</x:v>
      </x:c>
      <x:c r="C24" s="304" t="str">
        <x:v>row 7, col 10</x:v>
      </x:c>
      <x:c r="D24" s="304" t="str">
        <x:v>Native OGC baseline</x:v>
      </x:c>
      <x:c r="E24" s="304" t="str">
        <x:v>Native OGC value/encoding baseline; bounded unit/nil interpretation applied in v0.3.5.</x:v>
      </x:c>
      <x:c r="F24" s="304" t="str">
        <x:v>Applied-design/source reconciliation, not new normative adoption.</x:v>
      </x:c>
    </x:row>
    <x:row r="25" ht="58" customHeight="1">
      <x:c r="A25" s="304" t="str">
        <x:v>UPDATE</x:v>
      </x:c>
      <x:c r="B25" s="304" t="str">
        <x:v>Sources</x:v>
      </x:c>
      <x:c r="C25" s="304" t="str">
        <x:v>row 7, col 13</x:v>
      </x:c>
      <x:c r="D25" s="304" t="str">
        <x:v>—</x:v>
      </x:c>
      <x:c r="E25" s="304" t="str">
        <x:v>— | 17 Oct update: Later selected checks §§8.2.16/9.1.15 and supporting Quantity/basicTypes schemas S123.</x:v>
      </x:c>
      <x:c r="F25" s="304" t="str">
        <x:v>Dated supplementary inspection/status note.</x:v>
      </x:c>
    </x:row>
    <x:row r="26" ht="58" customHeight="1">
      <x:c r="A26" s="304" t="str">
        <x:v>UPDATE</x:v>
      </x:c>
      <x:c r="B26" s="304" t="str">
        <x:v>Conformance Plan</x:v>
      </x:c>
      <x:c r="C26" s="304" t="str">
        <x:v>row 7, col 3</x:v>
      </x:c>
      <x:c r="D26" s="304" t="str">
        <x:v>Native OGC baseline</x:v>
      </x:c>
      <x:c r="E26" s="304" t="str">
        <x:v>Native OGC value/encoding baseline; bounded unit/nil interpretation applied in v0.3.5. Later selected checks §§8.2.16/9.1.15 and supporting Quantity/basicTypes schemas S123.</x:v>
      </x:c>
      <x:c r="F26" s="304" t="str">
        <x:v>Current implementation boundary; historic version preserved.</x:v>
      </x:c>
    </x:row>
    <x:row r="27" ht="112" customHeight="1">
      <x:c r="A27" s="304" t="str">
        <x:v>UPDATE</x:v>
      </x:c>
      <x:c r="B27" s="304" t="str">
        <x:v>Intended Use</x:v>
      </x:c>
      <x:c r="C27" s="304" t="str">
        <x:v>row 7, col 8</x:v>
      </x:c>
      <x:c r="D27" s="304" t="str">
        <x:v>The target is the actual SWE component or encoding contract used by the OGC implementation. Assessment must cover the selected classes, inherited dependencies, semantic-definition obligations and value constraints, not only field datatypes. SensorML’s declared block-component dependency cannot be silently replaced by a handpicked simple-field subset because the first example is small (Open Geospatial Consortium 2025d, §9; 2025c, §9.1.1).</x:v>
      </x:c>
      <x:c r="E27" s="304" t="str">
        <x:v>Native OGC value/encoding baseline; bounded unit/nil interpretation applied in v0.3.5. Later selected checks §§8.2.16/9.1.15 and supporting Quantity/basicTypes schemas S123.</x:v>
      </x:c>
      <x:c r="F27" s="304" t="str">
        <x:v>Current implementation boundary; historic version preserved.</x:v>
      </x:c>
    </x:row>
    <x:row r="28" ht="58" customHeight="1">
      <x:c r="A28" s="304" t="str">
        <x:v>UPDATE</x:v>
      </x:c>
      <x:c r="B28" s="304" t="str">
        <x:v>Sources</x:v>
      </x:c>
      <x:c r="C28" s="304" t="str">
        <x:v>row 8, col 10</x:v>
      </x:c>
      <x:c r="D28" s="304" t="str">
        <x:v>Native OGC System/Deployment foundation; affirmative emplacement/mission applicability</x:v>
      </x:c>
      <x:c r="E28" s="304" t="str">
        <x:v>Native OGC resource foundation; R01/R02/R11 clarifications applied.</x:v>
      </x:c>
      <x:c r="F28" s="304" t="str">
        <x:v>Applied-design/source reconciliation, not new normative adoption.</x:v>
      </x:c>
    </x:row>
    <x:row r="29" ht="58" customHeight="1">
      <x:c r="A29" s="304" t="str">
        <x:v>UPDATE</x:v>
      </x:c>
      <x:c r="B29" s="304" t="str">
        <x:v>Sources</x:v>
      </x:c>
      <x:c r="C29" s="304" t="str">
        <x:v>row 8, col 13</x:v>
      </x:c>
      <x:c r="D29" s="304" t="str">
        <x:v>—</x:v>
      </x:c>
      <x:c r="E29" s="304" t="str">
        <x:v>— | 17 Oct update: Later selected checks §§14–15 and §19 sampling/property encodings; supporting schema S121.</x:v>
      </x:c>
      <x:c r="F29" s="304" t="str">
        <x:v>Dated supplementary inspection/status note.</x:v>
      </x:c>
    </x:row>
    <x:row r="30" ht="58" customHeight="1">
      <x:c r="A30" s="304" t="str">
        <x:v>UPDATE</x:v>
      </x:c>
      <x:c r="B30" s="304" t="str">
        <x:v>Conformance Plan</x:v>
      </x:c>
      <x:c r="C30" s="304" t="str">
        <x:v>row 8, col 3</x:v>
      </x:c>
      <x:c r="D30" s="304" t="str">
        <x:v>Native OGC System/Deployment foundation; affirmative emplacement/mission applicability</x:v>
      </x:c>
      <x:c r="E30" s="304" t="str">
        <x:v>Native OGC resource foundation; R01/R02/R11 clarifications applied. Later selected checks §§14–15 and §19 sampling/property encodings; supporting schema S121.</x:v>
      </x:c>
      <x:c r="F30" s="304" t="str">
        <x:v>Current implementation boundary; historic version preserved.</x:v>
      </x:c>
    </x:row>
    <x:row r="31" ht="112" customHeight="1">
      <x:c r="A31" s="304" t="str">
        <x:v>UPDATE</x:v>
      </x:c>
      <x:c r="B31" s="304" t="str">
        <x:v>Intended Use</x:v>
      </x:c>
      <x:c r="C31" s="304" t="str">
        <x:v>row 8, col 8</x:v>
      </x:c>
      <x:c r="D31" s="304" t="str">
        <x:v>CSAPI Part 1 is the proposed native resource API, including the selected resource and encoding capabilities. Any domain agreement must preserve the meanings of Systems, Procedures and Deployments rather than reuse their names for unrelated external classes. The prior dependency discrepancy remains historical research evidence; it does not gate the present content comparison (Open Geospatial Consortium 2025a, §§1–2, 10–11, 19).</x:v>
      </x:c>
      <x:c r="E31" s="304" t="str">
        <x:v>Native OGC resource foundation; R01/R02/R11 clarifications applied. Later selected checks §§14–15 and §19 sampling/property encodings; supporting schema S121.</x:v>
      </x:c>
      <x:c r="F31" s="304" t="str">
        <x:v>Current implementation boundary; historic version preserved.</x:v>
      </x:c>
    </x:row>
    <x:row r="32" ht="58" customHeight="1">
      <x:c r="A32" s="304" t="str">
        <x:v>UPDATE</x:v>
      </x:c>
      <x:c r="B32" s="304" t="str">
        <x:v>Sources</x:v>
      </x:c>
      <x:c r="C32" s="304" t="str">
        <x:v>row 9, col 10</x:v>
      </x:c>
      <x:c r="D32" s="304" t="str">
        <x:v>Native OGC baseline</x:v>
      </x:c>
      <x:c r="E32" s="304" t="str">
        <x:v>Native OGC dynamic-data/control foundation; R10/R11/R12/R20 refinements applied.</x:v>
      </x:c>
      <x:c r="F32" s="304" t="str">
        <x:v>Applied-design/source reconciliation, not new normative adoption.</x:v>
      </x:c>
    </x:row>
    <x:row r="33" ht="58" customHeight="1">
      <x:c r="A33" s="304" t="str">
        <x:v>UPDATE</x:v>
      </x:c>
      <x:c r="B33" s="304" t="str">
        <x:v>Sources</x:v>
      </x:c>
      <x:c r="C33" s="304" t="str">
        <x:v>row 9, col 13</x:v>
      </x:c>
      <x:c r="D33" s="304" t="str">
        <x:v>—</x:v>
      </x:c>
      <x:c r="E33" s="304" t="str">
        <x:v>— | 17 Oct update: Later selected checks §9.2/9.7 and §10; supporting DataStream/Observation schemas S122; no full validation claim.</x:v>
      </x:c>
      <x:c r="F33" s="304" t="str">
        <x:v>Dated supplementary inspection/status note.</x:v>
      </x:c>
    </x:row>
    <x:row r="34" ht="60" customHeight="1">
      <x:c r="A34" s="304" t="str">
        <x:v>UPDATE</x:v>
      </x:c>
      <x:c r="B34" s="304" t="str">
        <x:v>Conformance Plan</x:v>
      </x:c>
      <x:c r="C34" s="304" t="str">
        <x:v>row 9, col 3</x:v>
      </x:c>
      <x:c r="D34" s="304" t="str">
        <x:v>Native OGC baseline</x:v>
      </x:c>
      <x:c r="E34" s="304" t="str">
        <x:v>Native OGC dynamic-data/control foundation; R10/R11/R12/R20 refinements applied. Later selected checks §9.2/9.7 and §10; supporting DataStream/Observation schemas S122; no full validation claim.</x:v>
      </x:c>
      <x:c r="F34" s="304" t="str">
        <x:v>Current implementation boundary; historic version preserved.</x:v>
      </x:c>
    </x:row>
    <x:row r="35" ht="99" customHeight="1">
      <x:c r="A35" s="304" t="str">
        <x:v>UPDATE</x:v>
      </x:c>
      <x:c r="B35" s="304" t="str">
        <x:v>Intended Use</x:v>
      </x:c>
      <x:c r="C35" s="304" t="str">
        <x:v>row 9, col 8</x:v>
      </x:c>
      <x:c r="D35" s="304" t="str">
        <x:v>Part 2 remains a native implementation candidate for dynamic-data tasks, not a requirement to implement every command capability. Its §2 requires a resource-type and encoding selection with relevant conformance assessment. The present identity-and-names study does not exercise those API contracts and supports no new Part 2 conformance claim (Open Geospatial Consortium 2025b, §2, annex A).</x:v>
      </x:c>
      <x:c r="E35" s="304" t="str">
        <x:v>Native OGC dynamic-data/control foundation; R10/R11/R12/R20 refinements applied. Later selected checks §9.2/9.7 and §10; supporting DataStream/Observation schemas S122; no full validation claim.</x:v>
      </x:c>
      <x:c r="F35" s="304" t="str">
        <x:v>Current implementation boundary; historic version preserved.</x:v>
      </x:c>
    </x:row>
    <x:row r="36" ht="58" customHeight="1">
      <x:c r="A36" s="304" t="str">
        <x:v>UPDATE</x:v>
      </x:c>
      <x:c r="B36" s="304" t="str">
        <x:v>Sources</x:v>
      </x:c>
      <x:c r="C36" s="304" t="str">
        <x:v>row 14, col 10</x:v>
      </x:c>
      <x:c r="D36" s="304" t="str">
        <x:v>Bounded battery semantic reference; sibling work retained</x:v>
      </x:c>
      <x:c r="E36" s="304" t="str">
        <x:v>Selected battery semantic donor; one field-conversion example applied, not native BATTERY-MIB implementation.</x:v>
      </x:c>
      <x:c r="F36" s="304" t="str">
        <x:v>Applied-design/source reconciliation, not new normative adoption.</x:v>
      </x:c>
    </x:row>
    <x:row r="37" ht="58" customHeight="1">
      <x:c r="A37" s="304" t="str">
        <x:v>UPDATE</x:v>
      </x:c>
      <x:c r="B37" s="304" t="str">
        <x:v>Sources</x:v>
      </x:c>
      <x:c r="C37" s="304" t="str">
        <x:v>row 14, col 13</x:v>
      </x:c>
      <x:c r="D37" s="304" t="str">
        <x:v>—</x:v>
      </x:c>
      <x:c r="E37" s="304" t="str">
        <x:v>— | 17 Oct update: RFC 7577 §5 batteryActualVoltage: millivolts and 0xFFFFFFFF undetermined; v0.3.5 auxiliary example.</x:v>
      </x:c>
      <x:c r="F37" s="304" t="str">
        <x:v>Dated supplementary inspection/status note.</x:v>
      </x:c>
    </x:row>
    <x:row r="38" ht="60" customHeight="1">
      <x:c r="A38" s="304" t="str">
        <x:v>UPDATE</x:v>
      </x:c>
      <x:c r="B38" s="304" t="str">
        <x:v>Conformance Plan</x:v>
      </x:c>
      <x:c r="C38" s="304" t="str">
        <x:v>row 14, col 3</x:v>
      </x:c>
      <x:c r="D38" s="304" t="str">
        <x:v>Bounded battery semantic reference; sibling work retained</x:v>
      </x:c>
      <x:c r="E38" s="304" t="str">
        <x:v>Selected battery semantic donor; one field-conversion example applied, not native BATTERY-MIB implementation. RFC 7577 §5 batteryActualVoltage: millivolts and 0xFFFFFFFF undetermined; v0.3.5 auxiliary example.</x:v>
      </x:c>
      <x:c r="F38" s="304" t="str">
        <x:v>Current implementation boundary; historic version preserved.</x:v>
      </x:c>
    </x:row>
    <x:row r="39" ht="112" customHeight="1">
      <x:c r="A39" s="304" t="str">
        <x:v>UPDATE</x:v>
      </x:c>
      <x:c r="B39" s="304" t="str">
        <x:v>Intended Use</x:v>
      </x:c>
      <x:c r="C39" s="304" t="str">
        <x:v>row 14, col 8</x:v>
      </x:c>
      <x:c r="D39" s="304" t="str">
        <x:v>The currently contemplated use is reference to precisely defined battery quantities, not implementation of the Battery MIB. A native claim would concern an agent or manager satisfying the applicable managed-object and compliance obligations. A SWE representation of one quantity is an OGC-side implementation with a separately justified semantic mapping, not evidence of SNMP/MIB implementation (Internet Engineering Task Force 2015, scope and BATTERY-MIB module).</x:v>
      </x:c>
      <x:c r="E39" s="304" t="str">
        <x:v>Selected battery semantic donor; one field-conversion example applied, not native BATTERY-MIB implementation. RFC 7577 §5 batteryActualVoltage: millivolts and 0xFFFFFFFF undetermined; v0.3.5 auxiliary example.</x:v>
      </x:c>
      <x:c r="F39" s="304" t="str">
        <x:v>Current implementation boundary; historic version preserved.</x:v>
      </x:c>
    </x:row>
    <x:row r="40" ht="58" customHeight="1">
      <x:c r="A40" s="304" t="str">
        <x:v>UPDATE</x:v>
      </x:c>
      <x:c r="B40" s="304" t="str">
        <x:v>Sources</x:v>
      </x:c>
      <x:c r="C40" s="304" t="str">
        <x:v>row 15, col 10</x:v>
      </x:c>
      <x:c r="D40" s="304" t="str">
        <x:v>Priority Power Source information-model candidate; alternate realization to assess</x:v>
      </x:c>
      <x:c r="E40" s="304" t="str">
        <x:v>R16 typed powers/meters/aggregates applied in v0.3.2 as MERLIN-authored OGC binding.</x:v>
      </x:c>
      <x:c r="F40" s="304" t="str">
        <x:v>Applied-design/source reconciliation, not new normative adoption.</x:v>
      </x:c>
    </x:row>
    <x:row r="41" ht="58" customHeight="1">
      <x:c r="A41" s="304" t="str">
        <x:v>UPDATE</x:v>
      </x:c>
      <x:c r="B41" s="304" t="str">
        <x:v>Sources</x:v>
      </x:c>
      <x:c r="C41" s="304" t="str">
        <x:v>row 15, col 13</x:v>
      </x:c>
      <x:c r="D41" s="304" t="str">
        <x:v>—</x:v>
      </x:c>
      <x:c r="E41" s="304" t="str">
        <x:v>— | 17 Oct update: Detailed batteries/interfaces/charging and full operating-arrangement specialization remain open.</x:v>
      </x:c>
      <x:c r="F41" s="304" t="str">
        <x:v>Dated supplementary inspection/status note.</x:v>
      </x:c>
    </x:row>
    <x:row r="42" ht="60" customHeight="1">
      <x:c r="A42" s="304" t="str">
        <x:v>UPDATE</x:v>
      </x:c>
      <x:c r="B42" s="304" t="str">
        <x:v>Conformance Plan</x:v>
      </x:c>
      <x:c r="C42" s="304" t="str">
        <x:v>row 15, col 3</x:v>
      </x:c>
      <x:c r="D42" s="304" t="str">
        <x:v>Priority Power Source information-model candidate; alternate realization to assess</x:v>
      </x:c>
      <x:c r="E42" s="304" t="str">
        <x:v>R16 typed powers/meters/aggregates applied in v0.3.2 as MERLIN-authored OGC binding. Detailed batteries/interfaces/charging and full operating-arrangement specialization remain open.</x:v>
      </x:c>
      <x:c r="F42" s="304" t="str">
        <x:v>Current implementation boundary; historic version preserved.</x:v>
      </x:c>
    </x:row>
    <x:row r="43" ht="112" customHeight="1">
      <x:c r="A43" s="304" t="str">
        <x:v>UPDATE</x:v>
      </x:c>
      <x:c r="B43" s="304" t="str">
        <x:v>Intended Use</x:v>
      </x:c>
      <x:c r="C43" s="304" t="str">
        <x:v>row 15, col 8</x:v>
      </x:c>
      <x:c r="D43" s="304" t="str">
        <x:v>This framework is presently an interpretive source, not a selected implementation contract. A relationship borrowed from it needs a documented OGC binding and a semantic review; the framework alone does not establish a native protocol implementation. Any later management proposal must identify its actual implementing specifications and their assessable obligations (Internet Engineering Task Force 2014, framework and relationship sections).</x:v>
      </x:c>
      <x:c r="E43" s="304" t="str">
        <x:v>R16 typed powers/meters/aggregates applied in v0.3.2 as MERLIN-authored OGC binding. Detailed batteries/interfaces/charging and full operating-arrangement specialization remain open.</x:v>
      </x:c>
      <x:c r="F43" s="304" t="str">
        <x:v>Current implementation boundary; historic version preserved.</x:v>
      </x:c>
    </x:row>
    <x:row r="44" ht="58" customHeight="1">
      <x:c r="A44" s="304" t="str">
        <x:v>UPDATE</x:v>
      </x:c>
      <x:c r="B44" s="304" t="str">
        <x:v>Sources</x:v>
      </x:c>
      <x:c r="C44" s="304" t="str">
        <x:v>row 30, col 10</x:v>
      </x:c>
      <x:c r="D44" s="304" t="str">
        <x:v>Authoritative DISR baseline</x:v>
      </x:c>
      <x:c r="E44" s="304" t="str">
        <x:v>Authoritative complete DISR baseline; completed SOSA metadata screen incorporated as research evidence.</x:v>
      </x:c>
      <x:c r="F44" s="304" t="str">
        <x:v>Applied-design/source reconciliation, not new normative adoption.</x:v>
      </x:c>
    </x:row>
    <x:row r="45" ht="60" customHeight="1">
      <x:c r="A45" s="304" t="str">
        <x:v>UPDATE</x:v>
      </x:c>
      <x:c r="B45" s="304" t="str">
        <x:v>Sources</x:v>
      </x:c>
      <x:c r="C45" s="304" t="str">
        <x:v>row 30, col 13</x:v>
      </x:c>
      <x:c r="D45" s="304" t="str">
        <x:v>Complete current baseline by owner direction; no live verification prerequisite</x:v>
      </x:c>
      <x:c r="E45" s="304" t="str">
        <x:v>Complete current baseline by owner direction; no live verification prerequisite | 17 Oct update: 5,253 rows; 29 shortlist entries; 137 independent QA sample rows pending. Recovered CSV hash recorded; no registry change.</x:v>
      </x:c>
      <x:c r="F45" s="304" t="str">
        <x:v>Dated supplementary inspection/status note.</x:v>
      </x:c>
    </x:row>
    <x:row r="46" ht="60" customHeight="1">
      <x:c r="A46" s="304" t="str">
        <x:v>UPDATE</x:v>
      </x:c>
      <x:c r="B46" s="304" t="str">
        <x:v>Conformance Plan</x:v>
      </x:c>
      <x:c r="C46" s="304" t="str">
        <x:v>row 30, col 3</x:v>
      </x:c>
      <x:c r="D46" s="304" t="str">
        <x:v>Authoritative DISR baseline</x:v>
      </x:c>
      <x:c r="E46" s="304" t="str">
        <x:v>Authoritative complete DISR baseline; completed SOSA metadata screen incorporated as research evidence. 5,253 rows; 29 shortlist entries; 137 independent QA sample rows pending. Recovered CSV hash recorded; no registry change.</x:v>
      </x:c>
      <x:c r="F46" s="304" t="str">
        <x:v>Current implementation boundary; historic version preserved.</x:v>
      </x:c>
    </x:row>
    <x:row r="47" ht="112" customHeight="1">
      <x:c r="A47" s="304" t="str">
        <x:v>UPDATE</x:v>
      </x:c>
      <x:c r="B47" s="304" t="str">
        <x:v>Intended Use</x:v>
      </x:c>
      <x:c r="C47" s="304" t="str">
        <x:v>row 30, col 8</x:v>
      </x:c>
      <x:c r="D47" s="304" t="str">
        <x:v>The export is the authoritative, complete current DISR baseline for this investigation under Sam’s direction. It is evidence about adoption, not a technical implementation target. Exact records and adequately checked absences are stated directly; historical rejection, pending changes and technical suitability remain separate matters that the baseline does not by itself explain (“StandardsReport” 2026; Bolling 2026, research direction).</x:v>
      </x:c>
      <x:c r="E47" s="304" t="str">
        <x:v>Authoritative complete DISR baseline; completed SOSA metadata screen incorporated as research evidence. 5,253 rows; 29 shortlist entries; 137 independent QA sample rows pending. Recovered CSV hash recorded; no registry change.</x:v>
      </x:c>
      <x:c r="F47" s="304" t="str">
        <x:v>Current implementation boundary; historic version preserved.</x:v>
      </x:c>
    </x:row>
    <x:row r="48" ht="58" customHeight="1">
      <x:c r="A48" s="304" t="str">
        <x:v>UPDATE</x:v>
      </x:c>
      <x:c r="B48" s="304" t="str">
        <x:v>Sources</x:v>
      </x:c>
      <x:c r="C48" s="304" t="str">
        <x:v>row 52, col 10</x:v>
      </x:c>
      <x:c r="D48" s="304" t="str">
        <x:v>Principal UGS-community content comparator; no runtime selection</x:v>
      </x:c>
      <x:c r="E48" s="304" t="str">
        <x:v>OSUS-R implementation-subset precedent retained; no complete native interoperability claim.</x:v>
      </x:c>
      <x:c r="F48" s="304" t="str">
        <x:v>Applied-design/source reconciliation, not new normative adoption.</x:v>
      </x:c>
    </x:row>
    <x:row r="49" ht="99" customHeight="1">
      <x:c r="A49" s="304" t="str">
        <x:v>UPDATE</x:v>
      </x:c>
      <x:c r="B49" s="304" t="str">
        <x:v>Sources</x:v>
      </x:c>
      <x:c r="C49" s="304" t="str">
        <x:v>row 52, col 13</x:v>
      </x:c>
      <x:c r="D49" s="304" t="str">
        <x:v>https://github.com/ssg-udri/OSUS-R/blob/d09088fbe56d4b64f0544d72e98c3cb70fa941f6/README.md
https://github.com/ssg-udri/OSUS-R/blob/d09088fbe56d4b64f0544d72e98c3cb70fa941f6/mil.dod.th.core.lexicon/schemas/core/asset/capability/AssetCapabilities.xsd</x:v>
      </x:c>
      <x:c r="E49" s="304" t="str">
        <x:v>https://github.com/ssg-udri/OSUS-R/blob/d09088fbe56d4b64f0544d72e98c3cb70fa941f6/README.md
https://github.com/ssg-udri/OSUS-R/blob/d09088fbe56d4b64f0544d72e98c3cb70fa941f6/mil.dod.th.core.lexicon/schemas/core/asset/capability/AssetCapabilities.xsd | 17 Oct update: Current mode/function binding retains useful organization without claiming OSUS schema or runtime implementation.</x:v>
      </x:c>
      <x:c r="F49" s="304" t="str">
        <x:v>Dated supplementary inspection/status note.</x:v>
      </x:c>
    </x:row>
    <x:row r="50" ht="60" customHeight="1">
      <x:c r="A50" s="304" t="str">
        <x:v>UPDATE</x:v>
      </x:c>
      <x:c r="B50" s="304" t="str">
        <x:v>Conformance Plan</x:v>
      </x:c>
      <x:c r="C50" s="304" t="str">
        <x:v>row 52, col 3</x:v>
      </x:c>
      <x:c r="D50" s="304" t="str">
        <x:v>Principal UGS-community content comparator; no runtime selection</x:v>
      </x:c>
      <x:c r="E50" s="304" t="str">
        <x:v>OSUS-R implementation-subset precedent retained; no complete native interoperability claim. Current mode/function binding retains useful organization without claiming OSUS schema or runtime implementation.</x:v>
      </x:c>
      <x:c r="F50" s="304" t="str">
        <x:v>Current implementation boundary; historic version preserved.</x:v>
      </x:c>
    </x:row>
    <x:row r="51" ht="60" customHeight="1">
      <x:c r="A51" s="304" t="str">
        <x:v>UPDATE</x:v>
      </x:c>
      <x:c r="B51" s="304" t="str">
        <x:v>Intended Use</x:v>
      </x:c>
      <x:c r="C51" s="304" t="str">
        <x:v>row 52, col 8</x:v>
      </x:c>
      <x:c r="D51" s="304" t="str">
        <x:v>Scope/content assessment; no implementation execution.</x:v>
      </x:c>
      <x:c r="E51" s="304" t="str">
        <x:v>OSUS-R implementation-subset precedent retained; no complete native interoperability claim. Current mode/function binding retains useful organization without claiming OSUS schema or runtime implementation.</x:v>
      </x:c>
      <x:c r="F51" s="304" t="str">
        <x:v>Current implementation boundary; historic version preserved.</x:v>
      </x:c>
    </x:row>
    <x:row r="52" ht="58" customHeight="1">
      <x:c r="A52" s="304" t="str">
        <x:v>UPDATE</x:v>
      </x:c>
      <x:c r="B52" s="304" t="str">
        <x:v>Sources</x:v>
      </x:c>
      <x:c r="C52" s="304" t="str">
        <x:v>row 56, col 10</x:v>
      </x:c>
      <x:c r="D52" s="304" t="str">
        <x:v>Documented cooperation; not an adoption or current-edition assertion</x:v>
      </x:c>
      <x:c r="E52" s="304" t="str">
        <x:v>Historical 2024 guidance retained; technical v2 sources now S110–S113.</x:v>
      </x:c>
      <x:c r="F52" s="304" t="str">
        <x:v>Applied-design/source reconciliation, not new normative adoption.</x:v>
      </x:c>
    </x:row>
    <x:row r="53" ht="60" customHeight="1">
      <x:c r="A53" s="304" t="str">
        <x:v>UPDATE</x:v>
      </x:c>
      <x:c r="B53" s="304" t="str">
        <x:v>Sources</x:v>
      </x:c>
      <x:c r="C53" s="304" t="str">
        <x:v>row 56, col 13</x:v>
      </x:c>
      <x:c r="D53" s="304" t="str">
        <x:v>See source entry for limits</x:v>
      </x:c>
      <x:c r="E53" s="304" t="str">
        <x:v>See source entry for limits | 17 Oct update: S124 is distinct 14 Oct 2026 guidance revision. Historical OSUS coexistence wording not found on current page; prior dated evidence retained.</x:v>
      </x:c>
      <x:c r="F53" s="304" t="str">
        <x:v>Dated supplementary inspection/status note.</x:v>
      </x:c>
    </x:row>
    <x:row r="54" ht="60" customHeight="1">
      <x:c r="A54" s="304" t="str">
        <x:v>UPDATE</x:v>
      </x:c>
      <x:c r="B54" s="304" t="str">
        <x:v>Conformance Plan</x:v>
      </x:c>
      <x:c r="C54" s="304" t="str">
        <x:v>row 56, col 3</x:v>
      </x:c>
      <x:c r="D54" s="304" t="str">
        <x:v>Documented cooperation; not an adoption or current-edition assertion</x:v>
      </x:c>
      <x:c r="E54" s="304" t="str">
        <x:v>Historical 2024 guidance retained; technical v2 sources now S110–S113. S124 is distinct 14 Oct 2026 guidance revision. Historical OSUS coexistence wording not found on current page; prior dated evidence retained.</x:v>
      </x:c>
      <x:c r="F54" s="304" t="str">
        <x:v>Current implementation boundary; historic version preserved.</x:v>
      </x:c>
    </x:row>
    <x:row r="55" ht="60" customHeight="1">
      <x:c r="A55" s="304" t="str">
        <x:v>UPDATE</x:v>
      </x:c>
      <x:c r="B55" s="304" t="str">
        <x:v>Intended Use</x:v>
      </x:c>
      <x:c r="C55" s="304" t="str">
        <x:v>row 56, col 8</x:v>
      </x:c>
      <x:c r="D55" s="304" t="str">
        <x:v>Scope/content assessment; no implementation execution.</x:v>
      </x:c>
      <x:c r="E55" s="304" t="str">
        <x:v>Historical 2024 guidance retained; technical v2 sources now S110–S113. S124 is distinct 14 Oct 2026 guidance revision. Historical OSUS coexistence wording not found on current page; prior dated evidence retained.</x:v>
      </x:c>
      <x:c r="F55" s="304" t="str">
        <x:v>Current implementation boundary; historic version preserved.</x:v>
      </x:c>
    </x:row>
    <x:row r="56" ht="58" customHeight="1">
      <x:c r="A56" s="304" t="str">
        <x:v>UPDATE</x:v>
      </x:c>
      <x:c r="B56" s="304" t="str">
        <x:v>Sources</x:v>
      </x:c>
      <x:c r="C56" s="304" t="str">
        <x:v>row 64, col 10</x:v>
      </x:c>
      <x:c r="D56" s="304" t="str">
        <x:v>Supporting base OGC JSON encoding and structural carrier</x:v>
      </x:c>
      <x:c r="E56" s="304" t="str">
        <x:v>Selected native SensorML JSON artifacts support approved v0.3.4/v0.3.5 carriers.</x:v>
      </x:c>
      <x:c r="F56" s="304" t="str">
        <x:v>Applied-design/source reconciliation, not new normative adoption.</x:v>
      </x:c>
    </x:row>
    <x:row r="57" ht="73" customHeight="1">
      <x:c r="A57" s="304" t="str">
        <x:v>UPDATE</x:v>
      </x:c>
      <x:c r="B57" s="304" t="str">
        <x:v>Sources</x:v>
      </x:c>
      <x:c r="C57" s="304" t="str">
        <x:v>row 64, col 13</x:v>
      </x:c>
      <x:c r="D57" s="304" t="str">
        <x:v>Main profile v0.3.1 and standards-pedigree primer, plus ISA/power references</x:v>
      </x:c>
      <x:c r="E57" s="304" t="str">
        <x:v>Main profile v0.3.1 and standards-pedigree primer, plus ISA/power references | 17 Oct update: Additional inspected files: Mode, DescribedObject, AbstractProcess, Settings, commonDefs, sweCommonDefs and DerivedProperty. Full schema closure not recovered.</x:v>
      </x:c>
      <x:c r="F57" s="304" t="str">
        <x:v>Dated supplementary inspection/status note.</x:v>
      </x:c>
    </x:row>
    <x:row r="58" ht="73" customHeight="1">
      <x:c r="A58" s="304" t="str">
        <x:v>UPDATE</x:v>
      </x:c>
      <x:c r="B58" s="304" t="str">
        <x:v>Conformance Plan</x:v>
      </x:c>
      <x:c r="C58" s="304" t="str">
        <x:v>row 64, col 3</x:v>
      </x:c>
      <x:c r="D58" s="304" t="str">
        <x:v>Supporting base OGC JSON encoding and structural carrier</x:v>
      </x:c>
      <x:c r="E58" s="304" t="str">
        <x:v>Selected native SensorML JSON artifacts support approved v0.3.4/v0.3.5 carriers. Additional inspected files: Mode, DescribedObject, AbstractProcess, Settings, commonDefs, sweCommonDefs and DerivedProperty. Full schema closure not recovered.</x:v>
      </x:c>
      <x:c r="F58" s="304" t="str">
        <x:v>Current implementation boundary; historic version preserved.</x:v>
      </x:c>
    </x:row>
    <x:row r="59" ht="73" customHeight="1">
      <x:c r="A59" s="304" t="str">
        <x:v>UPDATE</x:v>
      </x:c>
      <x:c r="B59" s="304" t="str">
        <x:v>Intended Use</x:v>
      </x:c>
      <x:c r="C59" s="304" t="str">
        <x:v>row 64, col 8</x:v>
      </x:c>
      <x:c r="D59" s="304" t="str">
        <x:v>Source-bounded comparison; no executed cross-vendor integration or profile acceptance</x:v>
      </x:c>
      <x:c r="E59" s="304" t="str">
        <x:v>Selected native SensorML JSON artifacts support approved v0.3.4/v0.3.5 carriers. Additional inspected files: Mode, DescribedObject, AbstractProcess, Settings, commonDefs, sweCommonDefs and DerivedProperty. Full schema closure not recovered.</x:v>
      </x:c>
      <x:c r="F59" s="304" t="str">
        <x:v>Current implementation boundary; historic version preserved.</x:v>
      </x:c>
    </x:row>
    <x:row r="60" ht="58" customHeight="1">
      <x:c r="A60" s="304" t="str">
        <x:v>UPDATE</x:v>
      </x:c>
      <x:c r="B60" s="304" t="str">
        <x:v>Sources</x:v>
      </x:c>
      <x:c r="C60" s="304" t="str">
        <x:v>row 65, col 10</x:v>
      </x:c>
      <x:c r="D60" s="304" t="str">
        <x:v>Supporting base OGC JSON encoding and structural carrier</x:v>
      </x:c>
      <x:c r="E60" s="304" t="str">
        <x:v>Optional SystemEvent supporting schema; not a newly implemented service capability.</x:v>
      </x:c>
      <x:c r="F60" s="304" t="str">
        <x:v>Applied-design/source reconciliation, not new normative adoption.</x:v>
      </x:c>
    </x:row>
    <x:row r="61" ht="60" customHeight="1">
      <x:c r="A61" s="304" t="str">
        <x:v>UPDATE</x:v>
      </x:c>
      <x:c r="B61" s="304" t="str">
        <x:v>Sources</x:v>
      </x:c>
      <x:c r="C61" s="304" t="str">
        <x:v>row 65, col 13</x:v>
      </x:c>
      <x:c r="D61" s="304" t="str">
        <x:v>Main profile v0.3.1 and standards-pedigree primer, plus ISA/power references</x:v>
      </x:c>
      <x:c r="E61" s="304" t="str">
        <x:v>Main profile v0.3.1 and standards-pedigree primer, plus ISA/power references | 17 Oct update: R18 embedded history retained; operational SystemEvent access/coexistence remains an explicit residual, IG04.</x:v>
      </x:c>
      <x:c r="F61" s="304" t="str">
        <x:v>Dated supplementary inspection/status note.</x:v>
      </x:c>
    </x:row>
    <x:row r="62" ht="60" customHeight="1">
      <x:c r="A62" s="304" t="str">
        <x:v>UPDATE</x:v>
      </x:c>
      <x:c r="B62" s="304" t="str">
        <x:v>Conformance Plan</x:v>
      </x:c>
      <x:c r="C62" s="304" t="str">
        <x:v>row 65, col 3</x:v>
      </x:c>
      <x:c r="D62" s="304" t="str">
        <x:v>Supporting base OGC JSON encoding and structural carrier</x:v>
      </x:c>
      <x:c r="E62" s="304" t="str">
        <x:v>Optional SystemEvent supporting schema; not a newly implemented service capability. R18 embedded history retained; operational SystemEvent access/coexistence remains an explicit residual, IG04.</x:v>
      </x:c>
      <x:c r="F62" s="304" t="str">
        <x:v>Current implementation boundary; historic version preserved.</x:v>
      </x:c>
    </x:row>
    <x:row r="63" ht="60" customHeight="1">
      <x:c r="A63" s="304" t="str">
        <x:v>UPDATE</x:v>
      </x:c>
      <x:c r="B63" s="304" t="str">
        <x:v>Intended Use</x:v>
      </x:c>
      <x:c r="C63" s="304" t="str">
        <x:v>row 65, col 8</x:v>
      </x:c>
      <x:c r="D63" s="304" t="str">
        <x:v>Source-bounded comparison; no executed cross-vendor integration or profile acceptance</x:v>
      </x:c>
      <x:c r="E63" s="304" t="str">
        <x:v>Optional SystemEvent supporting schema; not a newly implemented service capability. R18 embedded history retained; operational SystemEvent access/coexistence remains an explicit residual, IG04.</x:v>
      </x:c>
      <x:c r="F63" s="304" t="str">
        <x:v>Current implementation boundary; historic version preserved.</x:v>
      </x:c>
    </x:row>
    <x:row r="64" ht="58" customHeight="1">
      <x:c r="A64" s="304" t="str">
        <x:v>UPDATE</x:v>
      </x:c>
      <x:c r="B64" s="304" t="str">
        <x:v>Sources</x:v>
      </x:c>
      <x:c r="C64" s="304" t="str">
        <x:v>row 92, col 10</x:v>
      </x:c>
      <x:c r="D64" s="304" t="str">
        <x:v>Independent ISA comparison; selected semantics only, no native runtime requirement</x:v>
      </x:c>
      <x:c r="E64" s="304" t="str">
        <x:v>ISA component/capability semantics inform approved identity/mode mappings; no native ISA runtime.</x:v>
      </x:c>
      <x:c r="F64" s="304" t="str">
        <x:v>Applied-design/source reconciliation, not new normative adoption.</x:v>
      </x:c>
    </x:row>
    <x:row r="65" ht="58" customHeight="1">
      <x:c r="A65" s="304" t="str">
        <x:v>UPDATE</x:v>
      </x:c>
      <x:c r="B65" s="304" t="str">
        <x:v>Sources</x:v>
      </x:c>
      <x:c r="C65" s="304" t="str">
        <x:v>row 92, col 13</x:v>
      </x:c>
      <x:c r="D65" s="304" t="str">
        <x:v>ISA Phase 1 + Phase 2 reports; eleven user-supplied 6.0 PDFs</x:v>
      </x:c>
      <x:c r="E65" s="304" t="str">
        <x:v>ISA Phase 1 + Phase 2 reports; eleven user-supplied 6.0 PDFs | 17 Oct update: Component Capability Description used as coherence comparator; no copied universal CCD group.</x:v>
      </x:c>
      <x:c r="F65" s="304" t="str">
        <x:v>Dated supplementary inspection/status note.</x:v>
      </x:c>
    </x:row>
    <x:row r="66" ht="60" customHeight="1">
      <x:c r="A66" s="304" t="str">
        <x:v>UPDATE</x:v>
      </x:c>
      <x:c r="B66" s="304" t="str">
        <x:v>Conformance Plan</x:v>
      </x:c>
      <x:c r="C66" s="304" t="str">
        <x:v>row 92, col 3</x:v>
      </x:c>
      <x:c r="D66" s="304" t="str">
        <x:v>Independent ISA comparison; selected semantics only, no native runtime requirement</x:v>
      </x:c>
      <x:c r="E66" s="304" t="str">
        <x:v>ISA component/capability semantics inform approved identity/mode mappings; no native ISA runtime. Component Capability Description used as coherence comparator; no copied universal CCD group.</x:v>
      </x:c>
      <x:c r="F66" s="304" t="str">
        <x:v>Current implementation boundary; historic version preserved.</x:v>
      </x:c>
    </x:row>
    <x:row r="67" ht="60" customHeight="1">
      <x:c r="A67" s="304" t="str">
        <x:v>UPDATE</x:v>
      </x:c>
      <x:c r="B67" s="304" t="str">
        <x:v>Intended Use</x:v>
      </x:c>
      <x:c r="C67" s="304" t="str">
        <x:v>row 92, col 8</x:v>
      </x:c>
      <x:c r="D67" s="304" t="str">
        <x:v>Source-bounded comparison; no executed cross-vendor integration or profile acceptance</x:v>
      </x:c>
      <x:c r="E67" s="304" t="str">
        <x:v>ISA component/capability semantics inform approved identity/mode mappings; no native ISA runtime. Component Capability Description used as coherence comparator; no copied universal CCD group.</x:v>
      </x:c>
      <x:c r="F67" s="304" t="str">
        <x:v>Current implementation boundary; historic version preserved.</x:v>
      </x:c>
    </x:row>
    <x:row r="68" ht="58" customHeight="1">
      <x:c r="A68" s="304" t="str">
        <x:v>UPDATE</x:v>
      </x:c>
      <x:c r="B68" s="304" t="str">
        <x:v>Sources</x:v>
      </x:c>
      <x:c r="C68" s="304" t="str">
        <x:v>row 93, col 10</x:v>
      </x:c>
      <x:c r="D68" s="304" t="str">
        <x:v>Independent ISA comparison; selected semantics only, no native runtime requirement</x:v>
      </x:c>
      <x:c r="E68" s="304" t="str">
        <x:v>ISA readiness and command distinctions inform approved R12 and mode/product interpretation.</x:v>
      </x:c>
      <x:c r="F68" s="304" t="str">
        <x:v>Applied-design/source reconciliation, not new normative adoption.</x:v>
      </x:c>
    </x:row>
    <x:row r="69" ht="60" customHeight="1">
      <x:c r="A69" s="304" t="str">
        <x:v>UPDATE</x:v>
      </x:c>
      <x:c r="B69" s="304" t="str">
        <x:v>Sources</x:v>
      </x:c>
      <x:c r="C69" s="304" t="str">
        <x:v>row 93, col 13</x:v>
      </x:c>
      <x:c r="D69" s="304" t="str">
        <x:v>ISA Phase 1 + Phase 2 reports; eleven user-supplied 6.0 PDFs</x:v>
      </x:c>
      <x:c r="E69" s="304" t="str">
        <x:v>ISA Phase 1 + Phase 2 reports; eleven user-supplied 6.0 PDFs | 17 Oct update: CMPT-L-0072: command ready is enabled, not necessarily available; no universal readiness flag added.</x:v>
      </x:c>
      <x:c r="F69" s="304" t="str">
        <x:v>Dated supplementary inspection/status note.</x:v>
      </x:c>
    </x:row>
    <x:row r="70" ht="60" customHeight="1">
      <x:c r="A70" s="304" t="str">
        <x:v>UPDATE</x:v>
      </x:c>
      <x:c r="B70" s="304" t="str">
        <x:v>Conformance Plan</x:v>
      </x:c>
      <x:c r="C70" s="304" t="str">
        <x:v>row 93, col 3</x:v>
      </x:c>
      <x:c r="D70" s="304" t="str">
        <x:v>Independent ISA comparison; selected semantics only, no native runtime requirement</x:v>
      </x:c>
      <x:c r="E70" s="304" t="str">
        <x:v>ISA readiness and command distinctions inform approved R12 and mode/product interpretation. CMPT-L-0072: command ready is enabled, not necessarily available; no universal readiness flag added.</x:v>
      </x:c>
      <x:c r="F70" s="304" t="str">
        <x:v>Current implementation boundary; historic version preserved.</x:v>
      </x:c>
    </x:row>
    <x:row r="71" ht="60" customHeight="1">
      <x:c r="A71" s="304" t="str">
        <x:v>UPDATE</x:v>
      </x:c>
      <x:c r="B71" s="304" t="str">
        <x:v>Intended Use</x:v>
      </x:c>
      <x:c r="C71" s="304" t="str">
        <x:v>row 93, col 8</x:v>
      </x:c>
      <x:c r="D71" s="304" t="str">
        <x:v>Source-bounded comparison; no executed cross-vendor integration or profile acceptance</x:v>
      </x:c>
      <x:c r="E71" s="304" t="str">
        <x:v>ISA readiness and command distinctions inform approved R12 and mode/product interpretation. CMPT-L-0072: command ready is enabled, not necessarily available; no universal readiness flag added.</x:v>
      </x:c>
      <x:c r="F71" s="304" t="str">
        <x:v>Current implementation boundary; historic version preserved.</x:v>
      </x:c>
    </x:row>
    <x:row r="72" ht="58" customHeight="1">
      <x:c r="A72" s="304" t="str">
        <x:v>UPDATE</x:v>
      </x:c>
      <x:c r="B72" s="304" t="str">
        <x:v>Sources</x:v>
      </x:c>
      <x:c r="C72" s="304" t="str">
        <x:v>row 95, col 10</x:v>
      </x:c>
      <x:c r="D72" s="304" t="str">
        <x:v>Independent ISA comparison; selected semantics only, no native runtime requirement</x:v>
      </x:c>
      <x:c r="E72" s="304" t="str">
        <x:v>ISA assignment/actuation and correction/recall/resolution/track distinctions reflected in approved guidance.</x:v>
      </x:c>
      <x:c r="F72" s="304" t="str">
        <x:v>Applied-design/source reconciliation, not new normative adoption.</x:v>
      </x:c>
    </x:row>
    <x:row r="73" ht="58" customHeight="1">
      <x:c r="A73" s="304" t="str">
        <x:v>UPDATE</x:v>
      </x:c>
      <x:c r="B73" s="304" t="str">
        <x:v>Sources</x:v>
      </x:c>
      <x:c r="C73" s="304" t="str">
        <x:v>row 95, col 13</x:v>
      </x:c>
      <x:c r="D73" s="304" t="str">
        <x:v>ISA Phase 1 + Phase 2 reports; eleven user-supplied 6.0 PDFs</x:v>
      </x:c>
      <x:c r="E73" s="304" t="str">
        <x:v>ISA Phase 1 + Phase 2 reports; eleven user-supplied 6.0 PDFs | 17 Oct update: R11 v0.3.5 preserves source semantics; no cross-donor universal lineage binding.</x:v>
      </x:c>
      <x:c r="F73" s="304" t="str">
        <x:v>Dated supplementary inspection/status note.</x:v>
      </x:c>
    </x:row>
    <x:row r="74" ht="60" customHeight="1">
      <x:c r="A74" s="304" t="str">
        <x:v>UPDATE</x:v>
      </x:c>
      <x:c r="B74" s="304" t="str">
        <x:v>Conformance Plan</x:v>
      </x:c>
      <x:c r="C74" s="304" t="str">
        <x:v>row 95, col 3</x:v>
      </x:c>
      <x:c r="D74" s="304" t="str">
        <x:v>Independent ISA comparison; selected semantics only, no native runtime requirement</x:v>
      </x:c>
      <x:c r="E74" s="304" t="str">
        <x:v>ISA assignment/actuation and correction/recall/resolution/track distinctions reflected in approved guidance. R11 v0.3.5 preserves source semantics; no cross-donor universal lineage binding.</x:v>
      </x:c>
      <x:c r="F74" s="304" t="str">
        <x:v>Current implementation boundary; historic version preserved.</x:v>
      </x:c>
    </x:row>
    <x:row r="75" ht="60" customHeight="1">
      <x:c r="A75" s="304" t="str">
        <x:v>UPDATE</x:v>
      </x:c>
      <x:c r="B75" s="304" t="str">
        <x:v>Intended Use</x:v>
      </x:c>
      <x:c r="C75" s="304" t="str">
        <x:v>row 95, col 8</x:v>
      </x:c>
      <x:c r="D75" s="304" t="str">
        <x:v>Source-bounded comparison; no executed cross-vendor integration or profile acceptance</x:v>
      </x:c>
      <x:c r="E75" s="304" t="str">
        <x:v>ISA assignment/actuation and correction/recall/resolution/track distinctions reflected in approved guidance. R11 v0.3.5 preserves source semantics; no cross-donor universal lineage binding.</x:v>
      </x:c>
      <x:c r="F75" s="304" t="str">
        <x:v>Current implementation boundary; historic version preserved.</x:v>
      </x:c>
    </x:row>
    <x:row r="76" ht="58" customHeight="1">
      <x:c r="A76" s="304" t="str">
        <x:v>UPDATE</x:v>
      </x:c>
      <x:c r="B76" s="304" t="str">
        <x:v>Sources</x:v>
      </x:c>
      <x:c r="C76" s="304" t="str">
        <x:v>row 104, col 10</x:v>
      </x:c>
      <x:c r="D76" s="304" t="str">
        <x:v>Semantic clarification / targeted mapping source, no new ontology runtime</x:v>
      </x:c>
      <x:c r="E76" s="304" t="str">
        <x:v>Existing pinned SSN Working Draft retained; lineage/alignment evidence added without duplicate S ID.</x:v>
      </x:c>
      <x:c r="F76" s="304" t="str">
        <x:v>Applied-design/source reconciliation, not new normative adoption.</x:v>
      </x:c>
    </x:row>
    <x:row r="77" ht="73" customHeight="1">
      <x:c r="A77" s="304" t="str">
        <x:v>UPDATE</x:v>
      </x:c>
      <x:c r="B77" s="304" t="str">
        <x:v>Sources</x:v>
      </x:c>
      <x:c r="C77" s="304" t="str">
        <x:v>row 104, col 13</x:v>
      </x:c>
      <x:c r="D77" s="304" t="str">
        <x:v>Foundational-semantics assessment A and evidence register D, 14 October 2026</x:v>
      </x:c>
      <x:c r="E77" s="304" t="str">
        <x:v>Foundational-semantics assessment A and evidence register D, 14 October 2026 | 17 Oct update: Add §7.1–7.3 and Annex E lineage scope. Ontology alignment axioms are distinct from non-OWL CSAPI correspondence tables; draft remains non-final.</x:v>
      </x:c>
      <x:c r="F77" s="304" t="str">
        <x:v>Dated supplementary inspection/status note.</x:v>
      </x:c>
    </x:row>
    <x:row r="78" ht="73" customHeight="1">
      <x:c r="A78" s="304" t="str">
        <x:v>UPDATE</x:v>
      </x:c>
      <x:c r="B78" s="304" t="str">
        <x:v>Conformance Plan</x:v>
      </x:c>
      <x:c r="C78" s="304" t="str">
        <x:v>row 104, col 3</x:v>
      </x:c>
      <x:c r="D78" s="304" t="str">
        <x:v>Semantic clarification / targeted mapping source, no new ontology runtime</x:v>
      </x:c>
      <x:c r="E78" s="304" t="str">
        <x:v>Existing pinned SSN Working Draft retained; lineage/alignment evidence added without duplicate S ID. Add §7.1–7.3 and Annex E lineage scope. Ontology alignment axioms are distinct from non-OWL CSAPI correspondence tables; draft remains non-final.</x:v>
      </x:c>
      <x:c r="F78" s="304" t="str">
        <x:v>Current implementation boundary; historic version preserved.</x:v>
      </x:c>
    </x:row>
    <x:row r="79" ht="73" customHeight="1">
      <x:c r="A79" s="304" t="str">
        <x:v>UPDATE</x:v>
      </x:c>
      <x:c r="B79" s="304" t="str">
        <x:v>Intended Use</x:v>
      </x:c>
      <x:c r="C79" s="304" t="str">
        <x:v>row 104, col 8</x:v>
      </x:c>
      <x:c r="D79" s="304" t="str">
        <x:v>Source-bounded comparison; no executed cross-vendor integration or profile acceptance</x:v>
      </x:c>
      <x:c r="E79" s="304" t="str">
        <x:v>Existing pinned SSN Working Draft retained; lineage/alignment evidence added without duplicate S ID. Add §7.1–7.3 and Annex E lineage scope. Ontology alignment axioms are distinct from non-OWL CSAPI correspondence tables; draft remains non-final.</x:v>
      </x:c>
      <x:c r="F79" s="304" t="str">
        <x:v>Current implementation boundary; historic version preserved.</x:v>
      </x:c>
    </x:row>
    <x:row r="80" ht="60" customHeight="1">
      <x:c r="A80" s="304" t="str">
        <x:v>UPDATE</x:v>
      </x:c>
      <x:c r="B80" s="304" t="str">
        <x:v>Openness</x:v>
      </x:c>
      <x:c r="C80" s="304" t="str">
        <x:v>row 104, col 9</x:v>
      </x:c>
      <x:c r="D80" s="304" t="str">
        <x:v>Check publication/encoding redistribution terms only if this exact source is selected; Draft alignment and system-capabilities examples are explicitly non-normative; do not assert OWL class equivalence.</x:v>
      </x:c>
      <x:c r="E80" s="304" t="str">
        <x:v>Draft ontology alignment axioms are source-specific; §7.3 API correspondences are not OWL equivalence. Keep the 12 Oct draft version and publisher terms; no mandatory ontology stack.</x:v>
      </x:c>
      <x:c r="F80" s="304" t="str">
        <x:v>Distinguish formal draft ontology alignments from conceptual API tables.</x:v>
      </x:c>
    </x:row>
    <x:row r="81" ht="58" customHeight="1">
      <x:c r="A81" s="304" t="str">
        <x:v>ADD</x:v>
      </x:c>
      <x:c r="B81" s="304" t="str">
        <x:v>Five principal source tables</x:v>
      </x:c>
      <x:c r="C81" s="304" t="str">
        <x:v>S110</x:v>
      </x:c>
      <x:c r="D81" s="304" t="str">
        <x:v>Not in v0.8</x:v>
      </x:c>
      <x:c r="E81" s="304" t="str">
        <x:v>SAPIENT Network of Autonomous Sensors and Effectors—Interface Control Document—Specification | BSI Flex 335 v2.0:2024-03</x:v>
      </x:c>
      <x:c r="F81" s="304" t="str">
        <x:v>Distinct source/edition or inspected supporting artifact; no new technical requirement.</x:v>
      </x:c>
    </x:row>
    <x:row r="82" ht="58" customHeight="1">
      <x:c r="A82" s="304" t="str">
        <x:v>ADD</x:v>
      </x:c>
      <x:c r="B82" s="304" t="str">
        <x:v>Five principal source tables</x:v>
      </x:c>
      <x:c r="C82" s="304" t="str">
        <x:v>S111</x:v>
      </x:c>
      <x:c r="D82" s="304" t="str">
        <x:v>Not in v0.8</x:v>
      </x:c>
      <x:c r="E82" s="304" t="str">
        <x:v>SAPIENT-Proto-Files: bsi_flex_335_v2_0 | Commit 244a741c13bcee628f84944aef91e4a66854bd7d; v2 folder</x:v>
      </x:c>
      <x:c r="F82" s="304" t="str">
        <x:v>Distinct source/edition or inspected supporting artifact; no new technical requirement.</x:v>
      </x:c>
    </x:row>
    <x:row r="83" ht="58" customHeight="1">
      <x:c r="A83" s="304" t="str">
        <x:v>ADD</x:v>
      </x:c>
      <x:c r="B83" s="304" t="str">
        <x:v>Five principal source tables</x:v>
      </x:c>
      <x:c r="C83" s="304" t="str">
        <x:v>S112</x:v>
      </x:c>
      <x:c r="D83" s="304" t="str">
        <x:v>Not in v0.8</x:v>
      </x:c>
      <x:c r="E83" s="304" t="str">
        <x:v>BSI-Flex-335-v2-Test-Harness | README v5.2.4; commit 6a2999d70d761d224914ddd8fa3f663af5005be0</x:v>
      </x:c>
      <x:c r="F83" s="304" t="str">
        <x:v>Distinct source/edition or inspected supporting artifact; no new technical requirement.</x:v>
      </x:c>
    </x:row>
    <x:row r="84" ht="58" customHeight="1">
      <x:c r="A84" s="304" t="str">
        <x:v>ADD</x:v>
      </x:c>
      <x:c r="B84" s="304" t="str">
        <x:v>Five principal source tables</x:v>
      </x:c>
      <x:c r="C84" s="304" t="str">
        <x:v>S113</x:v>
      </x:c>
      <x:c r="D84" s="304" t="str">
        <x:v>Not in v0.8</x:v>
      </x:c>
      <x:c r="E84" s="304" t="str">
        <x:v>Apex-SAPIENT-Middleware | Commit 0c8591ae97f2dc336eff299845880d5c73ee75b7</x:v>
      </x:c>
      <x:c r="F84" s="304" t="str">
        <x:v>Distinct source/edition or inspected supporting artifact; no new technical requirement.</x:v>
      </x:c>
    </x:row>
    <x:row r="85" ht="58" customHeight="1">
      <x:c r="A85" s="304" t="str">
        <x:v>ADD</x:v>
      </x:c>
      <x:c r="B85" s="304" t="str">
        <x:v>Five principal source tables</x:v>
      </x:c>
      <x:c r="C85" s="304" t="str">
        <x:v>S114</x:v>
      </x:c>
      <x:c r="D85" s="304" t="str">
        <x:v>Not in v0.8</x:v>
      </x:c>
      <x:c r="E85" s="304" t="str">
        <x:v>Technical Standard for SOSA Reference Architecture, Edition 1.1 | C239; June 2023 with September 2023 erratum</x:v>
      </x:c>
      <x:c r="F85" s="304" t="str">
        <x:v>Distinct source/edition or inspected supporting artifact; no new technical requirement.</x:v>
      </x:c>
    </x:row>
    <x:row r="86" ht="58" customHeight="1">
      <x:c r="A86" s="304" t="str">
        <x:v>ADD</x:v>
      </x:c>
      <x:c r="B86" s="304" t="str">
        <x:v>Five principal source tables</x:v>
      </x:c>
      <x:c r="C86" s="304" t="str">
        <x:v>S115</x:v>
      </x:c>
      <x:c r="D86" s="304" t="str">
        <x:v>Not in v0.8</x:v>
      </x:c>
      <x:c r="E86" s="304" t="str">
        <x:v>SOSA Domain-Specific Data Model, Edition 1.0, and IDL companion | April 2022 model; C239 Appendix B.1 companion</x:v>
      </x:c>
      <x:c r="F86" s="304" t="str">
        <x:v>Distinct source/edition or inspected supporting artifact; no new technical requirement.</x:v>
      </x:c>
    </x:row>
    <x:row r="87" ht="58" customHeight="1">
      <x:c r="A87" s="304" t="str">
        <x:v>ADD</x:v>
      </x:c>
      <x:c r="B87" s="304" t="str">
        <x:v>Five principal source tables</x:v>
      </x:c>
      <x:c r="C87" s="304" t="str">
        <x:v>S116</x:v>
      </x:c>
      <x:c r="D87" s="304" t="str">
        <x:v>Not in v0.8</x:v>
      </x:c>
      <x:c r="E87" s="304" t="str">
        <x:v>SOSA in-band management OpenAPI definitions | C239 Appendix B.2–B.7; six v1.0 JSON documents</x:v>
      </x:c>
      <x:c r="F87" s="304" t="str">
        <x:v>Distinct source/edition or inspected supporting artifact; no new technical requirement.</x:v>
      </x:c>
    </x:row>
    <x:row r="88" ht="58" customHeight="1">
      <x:c r="A88" s="304" t="str">
        <x:v>ADD</x:v>
      </x:c>
      <x:c r="B88" s="304" t="str">
        <x:v>Five principal source tables</x:v>
      </x:c>
      <x:c r="C88" s="304" t="str">
        <x:v>S117</x:v>
      </x:c>
      <x:c r="D88" s="304" t="str">
        <x:v>Not in v0.8</x:v>
      </x:c>
      <x:c r="E88" s="304" t="str">
        <x:v>Technical Standard for SOSA Reference Architecture, Edition 2.0 (Snapshot 3) | S251; June 2025 publisher bundle</x:v>
      </x:c>
      <x:c r="F88" s="304" t="str">
        <x:v>Distinct source/edition or inspected supporting artifact; no new technical requirement.</x:v>
      </x:c>
    </x:row>
    <x:row r="89" ht="58" customHeight="1">
      <x:c r="A89" s="304" t="str">
        <x:v>ADD</x:v>
      </x:c>
      <x:c r="B89" s="304" t="str">
        <x:v>Five principal source tables</x:v>
      </x:c>
      <x:c r="C89" s="304" t="str">
        <x:v>S118</x:v>
      </x:c>
      <x:c r="D89" s="304" t="str">
        <x:v>Not in v0.8</x:v>
      </x:c>
      <x:c r="E89" s="304" t="str">
        <x:v>Standardization Decisions for a Modular Open Systems Approach (MOSA) | SD-28; March 12, 2026</x:v>
      </x:c>
      <x:c r="F89" s="304" t="str">
        <x:v>Distinct source/edition or inspected supporting artifact; no new technical requirement.</x:v>
      </x:c>
    </x:row>
    <x:row r="90" ht="58" customHeight="1">
      <x:c r="A90" s="304" t="str">
        <x:v>ADD</x:v>
      </x:c>
      <x:c r="B90" s="304" t="str">
        <x:v>Five principal source tables</x:v>
      </x:c>
      <x:c r="C90" s="304" t="str">
        <x:v>S119</x:v>
      </x:c>
      <x:c r="D90" s="304" t="str">
        <x:v>Not in v0.8</x:v>
      </x:c>
      <x:c r="E90" s="304" t="str">
        <x:v>Modular Open Systems Approach Portfolio: HOST, FACE, SOSA, UCS, and Open Mission Systems | JOINT-UXS-002, Notice 2 (Administrative), August 26, 2026</x:v>
      </x:c>
      <x:c r="F90" s="304" t="str">
        <x:v>Distinct source/edition or inspected supporting artifact; no new technical requirement.</x:v>
      </x:c>
    </x:row>
    <x:row r="91" ht="58" customHeight="1">
      <x:c r="A91" s="304" t="str">
        <x:v>ADD</x:v>
      </x:c>
      <x:c r="B91" s="304" t="str">
        <x:v>Five principal source tables</x:v>
      </x:c>
      <x:c r="C91" s="304" t="str">
        <x:v>S120</x:v>
      </x:c>
      <x:c r="D91" s="304" t="str">
        <x:v>Not in v0.8</x:v>
      </x:c>
      <x:c r="E91" s="304" t="str">
        <x:v>United States Code, title 10, §§4401–4403 | Statutory context cited by completed SOSA study, 15 October 2026</x:v>
      </x:c>
      <x:c r="F91" s="304" t="str">
        <x:v>Distinct source/edition or inspected supporting artifact; no new technical requirement.</x:v>
      </x:c>
    </x:row>
    <x:row r="92" ht="58" customHeight="1">
      <x:c r="A92" s="304" t="str">
        <x:v>ADD</x:v>
      </x:c>
      <x:c r="B92" s="304" t="str">
        <x:v>Five principal source tables</x:v>
      </x:c>
      <x:c r="C92" s="304" t="str">
        <x:v>S121</x:v>
      </x:c>
      <x:c r="D92" s="304" t="str">
        <x:v>Not in v0.8</x:v>
      </x:c>
      <x:c r="E92" s="304" t="str">
        <x:v>CSAPI Part 1 v1.0 property-definition JSON schema subset | Part 1 / v1.0</x:v>
      </x:c>
      <x:c r="F92" s="304" t="str">
        <x:v>Distinct source/edition or inspected supporting artifact; no new technical requirement.</x:v>
      </x:c>
    </x:row>
    <x:row r="93" ht="58" customHeight="1">
      <x:c r="A93" s="304" t="str">
        <x:v>ADD</x:v>
      </x:c>
      <x:c r="B93" s="304" t="str">
        <x:v>Five principal source tables</x:v>
      </x:c>
      <x:c r="C93" s="304" t="str">
        <x:v>S122</x:v>
      </x:c>
      <x:c r="D93" s="304" t="str">
        <x:v>Not in v0.8</x:v>
      </x:c>
      <x:c r="E93" s="304" t="str">
        <x:v>CSAPI Part 2 v1.0 DataStream and Observation JSON schema subset | Part 2 / v1.0</x:v>
      </x:c>
      <x:c r="F93" s="304" t="str">
        <x:v>Distinct source/edition or inspected supporting artifact; no new technical requirement.</x:v>
      </x:c>
    </x:row>
    <x:row r="94" ht="58" customHeight="1">
      <x:c r="A94" s="304" t="str">
        <x:v>ADD</x:v>
      </x:c>
      <x:c r="B94" s="304" t="str">
        <x:v>Five principal source tables</x:v>
      </x:c>
      <x:c r="C94" s="304" t="str">
        <x:v>S123</x:v>
      </x:c>
      <x:c r="D94" s="304" t="str">
        <x:v>Not in v0.8</x:v>
      </x:c>
      <x:c r="E94" s="304" t="str">
        <x:v>SWE Common 3.0 Quantity and basic-types JSON schema subset | SWE Common 3.0</x:v>
      </x:c>
      <x:c r="F94" s="304" t="str">
        <x:v>Distinct source/edition or inspected supporting artifact; no new technical requirement.</x:v>
      </x:c>
    </x:row>
    <x:row r="95" ht="58" customHeight="1">
      <x:c r="A95" s="304" t="str">
        <x:v>ADD</x:v>
      </x:c>
      <x:c r="B95" s="304" t="str">
        <x:v>Five principal source tables</x:v>
      </x:c>
      <x:c r="C95" s="304" t="str">
        <x:v>S124</x:v>
      </x:c>
      <x:c r="D95" s="304" t="str">
        <x:v>Not in v0.8</x:v>
      </x:c>
      <x:c r="E95" s="304" t="str">
        <x:v>SAPIENT networked autonomous sensing | GOV.UK guidance updated 14 October 2026</x:v>
      </x:c>
      <x:c r="F95" s="304" t="str">
        <x:v>Distinct source/edition or inspected supporting artifact; no new technical requirement.</x:v>
      </x:c>
    </x:row>
    <x:row r="96" ht="58" customHeight="1">
      <x:c r="A96" s="304" t="str">
        <x:v>CORRECT</x:v>
      </x:c>
      <x:c r="B96" s="304" t="str">
        <x:v>Readme</x:v>
      </x:c>
      <x:c r="C96" s="304" t="str">
        <x:v>KPI</x:v>
      </x:c>
      <x:c r="D96" s="304" t="str">
        <x:v>52 displayed despite 109 records</x:v>
      </x:c>
      <x:c r="E96" s="304" t="str">
        <x:v>Formula-driven source count (124)</x:v>
      </x:c>
      <x:c r="F96" s="304" t="str">
        <x:v>Historical v0.7 dashboard values were stale in v0.8.</x:v>
      </x:c>
    </x:row>
    <x:row r="97" ht="58" customHeight="1">
      <x:c r="A97" s="304" t="str">
        <x:v>CORRECT</x:v>
      </x:c>
      <x:c r="B97" s="304" t="str">
        <x:v>Bibliography cover</x:v>
      </x:c>
      <x:c r="C97" s="304" t="str">
        <x:v>Annotation count</x:v>
      </x:c>
      <x:c r="D97" s="304" t="str">
        <x:v>108 individually indexed annotations</x:v>
      </x:c>
      <x:c r="E97" s="304" t="str">
        <x:v>124 actual annotations; parent had 109</x:v>
      </x:c>
      <x:c r="F97" s="304" t="str">
        <x:v>Counted actual S headings; not a missing source.</x:v>
      </x:c>
    </x:row>
    <x:row r="98" ht="58" customHeight="1">
      <x:c r="A98" s="304" t="str">
        <x:v>UPDATE</x:v>
      </x:c>
      <x:c r="B98" s="304" t="str">
        <x:v>Current status tables</x:v>
      </x:c>
      <x:c r="C98" s="304" t="str">
        <x:v>Workstreams / gates</x:v>
      </x:c>
      <x:c r="D98" s="304" t="str">
        <x:v>Several approved choices still pending in old records</x:v>
      </x:c>
      <x:c r="E98" s="304" t="str">
        <x:v>Four applied increments traced; partial and open decisions separated</x:v>
      </x:c>
      <x:c r="F98" s="304" t="str">
        <x:v>Does not mark entire study recommendations as adopted.</x:v>
      </x:c>
    </x:row>
    <x:row r="99" ht="58" customHeight="1">
      <x:c r="A99" s="304" t="str">
        <x:v>PRESERVE</x:v>
      </x:c>
      <x:c r="B99" s="304" t="str">
        <x:v>MPSS technical artifacts</x:v>
      </x:c>
      <x:c r="C99" s="304" t="str">
        <x:v>v0.3.5</x:v>
      </x:c>
      <x:c r="D99" s="304" t="str">
        <x:v>Existing profile/example/catalogue/primer</x:v>
      </x:c>
      <x:c r="E99" s="304" t="str">
        <x:v>Byte-identical</x:v>
      </x:c>
      <x:c r="F99" s="304" t="str">
        <x:v>This task changes research/control records only.</x:v>
      </x:c>
    </x:row>
    <x:row r="100" ht="135" customHeight="1">
      <x:c r="A100" s="223" t="str">
        <x:v>APPEND</x:v>
      </x:c>
      <x:c r="B100" s="223" t="str">
        <x:v>Five source registers</x:v>
      </x:c>
      <x:c r="C100" s="223" t="str">
        <x:v>S125–S140</x:v>
      </x:c>
      <x:c r="D100" s="223" t="str">
        <x:v>124 identities</x:v>
      </x:c>
      <x:c r="E100" s="223" t="str">
        <x:v>140 identities</x:v>
      </x:c>
      <x:c r="F100" s="223" t="str">
        <x:v>No old IDs renumbered</x:v>
      </x:c>
    </x:row>
    <x:row r="101" ht="135" customHeight="1">
      <x:c r="A101" s="223" t="str">
        <x:v>ADD</x:v>
      </x:c>
      <x:c r="B101" s="223" t="str">
        <x:v>Four OSCAR sheets</x:v>
      </x:c>
      <x:c r="C101" s="223" t="str">
        <x:v>Mapping/residuals/dispositions/summary</x:v>
      </x:c>
      <x:c r="D101" s="223" t="str">
        <x:v>Not present</x:v>
      </x:c>
      <x:c r="E101" s="223" t="str">
        <x:v>27 mapping rows;8 residuals;10 decisions</x:v>
      </x:c>
      <x:c r="F101" s="223" t="str">
        <x:v>Research, not standards certification</x:v>
      </x:c>
    </x:row>
    <x:row r="102" ht="135" customHeight="1">
      <x:c r="A102" s="223" t="str">
        <x:v>APPEND</x:v>
      </x:c>
      <x:c r="B102" s="223" t="str">
        <x:v>Donor Lineage</x:v>
      </x:c>
      <x:c r="C102" s="223" t="str">
        <x:v>OL01–OL06</x:v>
      </x:c>
      <x:c r="D102" s="223" t="str">
        <x:v>16 earlier rows</x:v>
      </x:c>
      <x:c r="E102" s="223" t="str">
        <x:v>6 evidence-qualified relationships added</x:v>
      </x:c>
      <x:c r="F102" s="223" t="str">
        <x:v>Keep inference distinct from direct evidence</x:v>
      </x:c>
    </x:row>
    <x:row r="103" ht="135" customHeight="1">
      <x:c r="A103" s="223" t="str">
        <x:v>RETAIN</x:v>
      </x:c>
      <x:c r="B103" s="223" t="str">
        <x:v>Technical profile/example/catalogue</x:v>
      </x:c>
      <x:c r="C103" s="223" t="str">
        <x:v>v0.3.5</x:v>
      </x:c>
      <x:c r="D103" s="223" t="str">
        <x:v>v0.3.5</x:v>
      </x:c>
      <x:c r="E103" s="223" t="str">
        <x:v>Byte-identical</x:v>
      </x:c>
      <x:c r="F103" s="223" t="str">
        <x:v>Do not change the baseline to manufacture a mapping pass</x:v>
      </x:c>
    </x:row>
    <x:row r="104" ht="135" customHeight="1">
      <x:c r="A104" s="223" t="str">
        <x:v>UPDATE</x:v>
      </x:c>
      <x:c r="B104" s="223" t="str">
        <x:v>Continuity</x:v>
      </x:c>
      <x:c r="C104" s="223" t="str">
        <x:v>PITON4.5/plan1.5</x:v>
      </x:c>
      <x:c r="D104" s="223" t="str">
        <x:v>Prior next-action status</x:v>
      </x:c>
      <x:c r="E104" s="223" t="str">
        <x:v>PITON4.6/plan1.6</x:v>
      </x:c>
      <x:c r="F104" s="223" t="str">
        <x:v>OSCAR findings and existing deployment boundaries current</x:v>
      </x:c>
    </x:row>
  </x:sheetData>
  <x:pageMargins left="0.7" right="0.7" top="0.75" bottom="0.75" header="0.3" footer="0.3"/>
  <x:tableParts count="1">
    <x:tablePart xmlns:r="http://schemas.openxmlformats.org/officeDocument/2006/relationships" r:id="R4ed3473924014980"/>
  </x:tableParts>
</x:worksheet>
</file>

<file path=xl/worksheets/sheet2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8" hidden="0" customWidth="1"/>
    <x:col min="3" max="3" width="40" hidden="0" customWidth="1"/>
    <x:col min="4" max="4" width="25" hidden="0" customWidth="1"/>
    <x:col min="5" max="5" width="45" hidden="0" customWidth="1"/>
    <x:col min="6" max="6" width="23" hidden="0" customWidth="1"/>
    <x:col min="7" max="7" width="35" hidden="0" customWidth="1"/>
    <x:col min="8" max="8" width="45" hidden="0" customWidth="1"/>
    <x:col min="9" max="9" width="45" hidden="0" customWidth="1"/>
    <x:col min="10" max="10" width="55" hidden="0" customWidth="1"/>
  </x:cols>
  <x:sheetData>
    <x:row r="1" ht="38" customHeight="1">
      <x:c r="A1" s="361" t="str">
        <x:v>ID</x:v>
      </x:c>
      <x:c r="B1" s="361" t="str">
        <x:v>Source concept</x:v>
      </x:c>
      <x:c r="C1" s="361" t="str">
        <x:v>Source meaning</x:v>
      </x:c>
      <x:c r="D1" s="361" t="str">
        <x:v>Existing MPSS</x:v>
      </x:c>
      <x:c r="E1" s="361" t="str">
        <x:v>Selected representation / design</x:v>
      </x:c>
      <x:c r="F1" s="361" t="str">
        <x:v>Fit class</x:v>
      </x:c>
      <x:c r="G1" s="361" t="str">
        <x:v>Preserved</x:v>
      </x:c>
      <x:c r="H1" s="361" t="str">
        <x:v>Residual</x:v>
      </x:c>
      <x:c r="I1" s="361" t="str">
        <x:v>Do not infer</x:v>
      </x:c>
      <x:c r="J1" s="361" t="str">
        <x:v>Source URL</x:v>
      </x:c>
    </x:row>
    <x:row r="2" ht="150" customHeight="1">
      <x:c r="A2" s="223" t="str">
        <x:v>M01</x:v>
      </x:c>
      <x:c r="B2" s="223" t="str">
        <x:v>Lane system and participants</x:v>
      </x:c>
      <x:c r="C2" s="223" t="str">
        <x:v>Software aggregate registers detector/process/camera modules.</x:v>
      </x:c>
      <x:c r="D2" s="223" t="str">
        <x:v>R02 equipment and composition; R05 employment</x:v>
      </x:c>
      <x:c r="E2" s="223" t="str">
        <x:v>Keep source System identity and native associations; distinguish software aggregation from any physical assembly.</x:v>
      </x:c>
      <x:c r="F2" s="223" t="str">
        <x:v>PARTIAL</x:v>
      </x:c>
      <x:c r="G2" s="223" t="str">
        <x:v>Source aggregate membership and participant identity.</x:v>
      </x:c>
      <x:c r="H2" s="223" t="str">
        <x:v>Physical containment, enduring lane identity and actual deployment require source evidence.</x:v>
      </x:c>
      <x:c r="I2" s="223" t="str">
        <x:v>Do not equate a UID suffix with physical containment or make a Deployment from every passage.</x:v>
      </x:c>
      <x:c r="J2" s="223" t="str">
        <x:v>https://github.com/Botts-Innovative-Research/osh-oakridge-modules/blob/817f408a017302387f4f427b9b7f8ec5bcb62c70/sensors/sensorhub-system-lane/src/main/java/com/botts/impl/system/lane/LaneSystem.java</x:v>
      </x:c>
    </x:row>
    <x:row r="3" ht="150" customHeight="1">
      <x:c r="A3" s="223" t="str">
        <x:v>M02</x:v>
      </x:c>
      <x:c r="B3" s="223" t="str">
        <x:v>Portal monitor and detector identity</x:v>
      </x:c>
      <x:c r="C3" s="223" t="str">
        <x:v>Instrument A1234b; detector entries Aa1/Aa2/Ba1/Ba2/Aa1N/Ba1N.</x:v>
      </x:c>
      <x:c r="D3" s="223" t="str">
        <x:v>R01–R04 identity, composition and functions</x:v>
      </x:c>
      <x:c r="E3" s="223" t="str">
        <x:v>System/Procedure descriptive content and owner-scoped detector identifiers; authoritative physical co-reference remains source-qualified.</x:v>
      </x:c>
      <x:c r="F3" s="223" t="str">
        <x:v>FIT_NATIVE</x:v>
      </x:c>
      <x:c r="G3" s="223" t="str">
        <x:v>Instrument model, hardware/software versions and detector category/kind.</x:v>
      </x:c>
      <x:c r="H3" s="223" t="str">
        <x:v>Serial identity authority and exact detector management boundary remain donor-specific.</x:v>
      </x:c>
      <x:c r="I3" s="223" t="str">
        <x:v>A document-local XML id is not a globally persistent equipment identifier.</x:v>
      </x:c>
      <x:c r="J3" s="223" t="str">
        <x:v>https://github.com/Botts-Innovative-Research/osh-oakridge-modules/blob/817f408a017302387f4f427b9b7f8ec5bcb62c70/sensors/sensorhub-utils-rad/src/main/N42/examples/Annex%20D.n42</x:v>
      </x:c>
    </x:row>
    <x:row r="4" ht="150" customHeight="1">
      <x:c r="A4" s="223" t="str">
        <x:v>M03</x:v>
      </x:c>
      <x:c r="B4" s="223" t="str">
        <x:v>Camera and imaging output</x:v>
      </x:c>
      <x:c r="C4" s="223" t="str">
        <x:v>FFmpeg modules are registered with the lane.</x:v>
      </x:c>
      <x:c r="D4" s="223" t="str">
        <x:v>R02–R04; R09–R10</x:v>
      </x:c>
      <x:c r="E4" s="223" t="str">
        <x:v>Preserve module/System and output identity; apply a profile function/output correspondence when declared.</x:v>
      </x:c>
      <x:c r="F4" s="223" t="str">
        <x:v>FIT_PROFILE</x:v>
      </x:c>
      <x:c r="G4" s="223" t="str">
        <x:v>Producer and output association; camera role when supported.</x:v>
      </x:c>
      <x:c r="H4" s="223" t="str">
        <x:v>Radiation/camera function-kind vocabulary and physical mounting not fully defined in current example catalogue.</x:v>
      </x:c>
      <x:c r="I4" s="223" t="str">
        <x:v>Do not infer mount geometry from software membership.</x:v>
      </x:c>
      <x:c r="J4" s="223" t="str">
        <x:v>https://github.com/Botts-Innovative-Research/osh-oakridge-modules/blob/817f408a017302387f4f427b9b7f8ec5bcb62c70/sensors/sensorhub-system-lane/src/main/java/com/botts/impl/system/lane/LaneSystem.java</x:v>
      </x:c>
    </x:row>
    <x:row r="5" ht="150" customHeight="1">
      <x:c r="A5" s="223" t="str">
        <x:v>M04</x:v>
      </x:c>
      <x:c r="B5" s="223" t="str">
        <x:v>Source adaptation and hosting</x:v>
      </x:c>
      <x:c r="C5" s="223" t="str">
        <x:v>Software mediates native files and analysis services.</x:v>
      </x:c>
      <x:c r="D5" s="223" t="str">
        <x:v>R15 representation-source versus gateway</x:v>
      </x:c>
      <x:c r="E5" s="223" t="str">
        <x:v>Existing optional representation-source group for proven mediation; separate network access from source provenance.</x:v>
      </x:c>
      <x:c r="F5" s="223" t="str">
        <x:v>FIT_PROFILE</x:v>
      </x:c>
      <x:c r="G5" s="223" t="str">
        <x:v>Source edition/role and adapter identity when known.</x:v>
      </x:c>
      <x:c r="H5" s="223" t="str">
        <x:v>Actual installed adapter identity and algorithm versions unavailable in this contract-only case.</x:v>
      </x:c>
      <x:c r="I5" s="223" t="str">
        <x:v>No physical identity equality follows from sender, host or adapter name.</x:v>
      </x:c>
      <x:c r="J5" s="223" t="str">
        <x:v>https://github.com/Botts-Innovative-Research/osh-oakridge-modules/blob/817f408a017302387f4f427b9b7f8ec5bcb62c70/sensors/sensorhub-utils-rad/src/main/java/org/sensorhub/impl/utils/rad/webid/WebIdAnalyzer.java</x:v>
      </x:c>
    </x:row>
    <x:row r="6" ht="150" customHeight="1">
      <x:c r="A6" s="223" t="str">
        <x:v>M05</x:v>
      </x:c>
      <x:c r="B6" s="223" t="str">
        <x:v>Deployment location and responsibility</x:v>
      </x:c>
      <x:c r="C6" s="223" t="str">
        <x:v>The manual describes site/lane use; no actual deployed-instance metadata is supplied.</x:v>
      </x:c>
      <x:c r="D6" s="223" t="str">
        <x:v>R05–R08</x:v>
      </x:c>
      <x:c r="E6" s="223" t="str">
        <x:v>Existing Deployment relationships, purpose, location and responsibility where supplied.</x:v>
      </x:c>
      <x:c r="F6" s="223" t="str">
        <x:v>SOURCE_GAP</x:v>
      </x:c>
      <x:c r="G6" s="223" t="str">
        <x:v>The model has a place for these facts.</x:v>
      </x:c>
      <x:c r="H6" s="223" t="str">
        <x:v>A real instance must provide site, times, geometry and responsibility; no fabricated deployment is emitted.</x:v>
      </x:c>
      <x:c r="I6" s="223" t="str">
        <x:v>No site coordinates or installation dates are derived from a display label.</x:v>
      </x:c>
      <x:c r="J6" s="223" t="str">
        <x:v>https://github.com/Botts-Innovative-Research/osh-oakridge-buildnode/blob/ab8b847b662152bd949157197182bfdf8c429d21/dist/documentation/OSCAR_System_Documentation_Manual_3.5.md</x:v>
      </x:c>
    </x:row>
    <x:row r="7" ht="150" customHeight="1">
      <x:c r="A7" s="223" t="str">
        <x:v>M06</x:v>
      </x:c>
      <x:c r="B7" s="223" t="str">
        <x:v>Function kinds</x:v>
      </x:c>
      <x:c r="C7" s="223" t="str">
        <x:v>Radiation/occupancy summary output exists as a source contract.</x:v>
      </x:c>
      <x:c r="D7" s="223" t="str">
        <x:v>R04/R09/R10</x:v>
      </x:c>
      <x:c r="E7" s="223" t="str">
        <x:v>Existing sensing-function and function-binding design; controlled values require a documented specialization.</x:v>
      </x:c>
      <x:c r="F7" s="223" t="str">
        <x:v>VOCABULARY_GAP</x:v>
      </x:c>
      <x:c r="G7" s="223" t="str">
        <x:v>Function/output organization already exists.</x:v>
      </x:c>
      <x:c r="H7" s="223" t="str">
        <x:v>Current catalogue function-kind has environmental-measurement and internal-monitoring only; neither is an automatic radiation equivalent.</x:v>
      </x:c>
      <x:c r="I7" s="223" t="str">
        <x:v>Do not insert radiation-measurement into the current code space and call it existing v0.3.5 conformance.</x:v>
      </x:c>
      <x:c r="J7" s="223" t="str">
        <x:v>https://github.com/Botts-Innovative-Research/osh-oakridge-modules/blob/817f408a017302387f4f427b9b7f8ec5bcb62c70/sensors/sensorhub-utils-rad/src/main/java/org/sensorhub/impl/utils/rad/output/OccupancyOutput.java</x:v>
      </x:c>
    </x:row>
    <x:row r="8" ht="150" customHeight="1">
      <x:c r="A8" s="223" t="str">
        <x:v>M07</x:v>
      </x:c>
      <x:c r="B8" s="223" t="str">
        <x:v>occupancyCount</x:v>
      </x:c>
      <x:c r="C8" s="223" t="str">
        <x:v>Occupancy count is described as resetting at midnight.</x:v>
      </x:c>
      <x:c r="D8" s="223" t="str">
        <x:v>R10/R11 product and observation context</x:v>
      </x:c>
      <x:c r="E8" s="223" t="str">
        <x:v>Retain in the declared result record with source-qualified definition.</x:v>
      </x:c>
      <x:c r="F8" s="223" t="str">
        <x:v>FIT_NATIVE</x:v>
      </x:c>
      <x:c r="G8" s="223" t="str">
        <x:v>Counter value and reset context.</x:v>
      </x:c>
      <x:c r="H8" s="223" t="str">
        <x:v>A stable passage identity or correction history is not supplied by the counter alone.</x:v>
      </x:c>
      <x:c r="I8" s="223" t="str">
        <x:v>Never use this count alone as a globally unique passage identifier.</x:v>
      </x:c>
      <x:c r="J8" s="223" t="str">
        <x:v>https://github.com/Botts-Innovative-Research/osh-oakridge-modules/blob/817f408a017302387f4f427b9b7f8ec5bcb62c70/sensors/sensorhub-utils-rad/src/main/java/org/sensorhub/impl/utils/rad/output/OccupancyOutput.java</x:v>
      </x:c>
    </x:row>
    <x:row r="9" ht="150" customHeight="1">
      <x:c r="A9" s="223" t="str">
        <x:v>M08</x:v>
      </x:c>
      <x:c r="B9" s="223" t="str">
        <x:v>samplingTime</x:v>
      </x:c>
      <x:c r="C9" s="223" t="str">
        <x:v>Helper names sampling time but description says message reception.</x:v>
      </x:c>
      <x:c r="D9" s="223" t="str">
        <x:v>R11 temporal meaning</x:v>
      </x:c>
      <x:c r="E9" s="223" t="str">
        <x:v>Preserve native result field; resolve acquisition versus reception semantics before top-level time translation.</x:v>
      </x:c>
      <x:c r="F9" s="223" t="str">
        <x:v>SOURCE_GAP</x:v>
      </x:c>
      <x:c r="G9" s="223" t="str">
        <x:v>Exact timestamp and its conflicting source descriptions.</x:v>
      </x:c>
      <x:c r="H9" s="223" t="str">
        <x:v>Semantic ambiguity requires producer/driver confirmation.</x:v>
      </x:c>
      <x:c r="I9" s="223" t="str">
        <x:v>Do not silently equate message reception with phenomenonTime or original measurement time.</x:v>
      </x:c>
      <x:c r="J9" s="223" t="str">
        <x:v>https://github.com/Botts-Innovative-Research/osh-oakridge-modules/blob/817f408a017302387f4f427b9b7f8ec5bcb62c70/sensors/sensorhub-utils-rad/src/main/java/org/sensorhub/impl/utils/rad/RADHelper.java</x:v>
      </x:c>
    </x:row>
    <x:row r="10" ht="150" customHeight="1">
      <x:c r="A10" s="223" t="str">
        <x:v>M09</x:v>
      </x:c>
      <x:c r="B10" s="223" t="str">
        <x:v>startTime and endTime</x:v>
      </x:c>
      <x:c r="C10" s="223" t="str">
        <x:v>Occupancy start and end times are explicitly described.</x:v>
      </x:c>
      <x:c r="D10" s="223" t="str">
        <x:v>R11 subject/time context</x:v>
      </x:c>
      <x:c r="E10" s="223" t="str">
        <x:v>Keep both in the declared result schema; choose top-level Observation time only under an explicit valid binding.</x:v>
      </x:c>
      <x:c r="F10" s="223" t="str">
        <x:v>FIT_NATIVE</x:v>
      </x:c>
      <x:c r="G10" s="223" t="str">
        <x:v>Occupancy interval without inventing a new episode entity.</x:v>
      </x:c>
      <x:c r="H10" s="223" t="str">
        <x:v>Current published Observation schema exposes an instant phenomenonTime branch; interval mapping needs the actual selected representation.</x:v>
      </x:c>
      <x:c r="I10" s="223" t="str">
        <x:v>Do not add an undocumented array-valued phenomenonTime field.</x:v>
      </x:c>
      <x:c r="J10" s="223" t="str">
        <x:v>https://github.com/Botts-Innovative-Research/osh-oakridge-modules/blob/817f408a017302387f4f427b9b7f8ec5bcb62c70/sensors/sensorhub-utils-rad/src/main/java/org/sensorhub/impl/utils/rad/RADHelper.java</x:v>
      </x:c>
    </x:row>
    <x:row r="11" ht="150" customHeight="1">
      <x:c r="A11" s="223" t="str">
        <x:v>M10</x:v>
      </x:c>
      <x:c r="B11" s="223" t="str">
        <x:v>gammaAlarm and neutronAlarm</x:v>
      </x:c>
      <x:c r="C11" s="223" t="str">
        <x:v>Two source alarm flags, not independent proof of a threat.</x:v>
      </x:c>
      <x:c r="D11" s="223" t="str">
        <x:v>R04/R10/R11 observed or derived state</x:v>
      </x:c>
      <x:c r="E11" s="223" t="str">
        <x:v>SWE Boolean fields in the occupancy result; retain source definition and provenance.</x:v>
      </x:c>
      <x:c r="F11" s="223" t="str">
        <x:v>FIT_NATIVE</x:v>
      </x:c>
      <x:c r="G11" s="223" t="str">
        <x:v>Two distinct alarm assertions.</x:v>
      </x:c>
      <x:c r="H11" s="223" t="str">
        <x:v>Algorithm, threshold version and input dependency are not fully supplied.</x:v>
      </x:c>
      <x:c r="I11" s="223" t="str">
        <x:v>An alarm assertion is not an equipment-maintenance SystemEvent merely because it is called an event.</x:v>
      </x:c>
      <x:c r="J11" s="223" t="str">
        <x:v>https://github.com/Botts-Innovative-Research/osh-oakridge-modules/blob/817f408a017302387f4f427b9b7f8ec5bcb62c70/sensors/sensorhub-utils-rad/src/main/java/org/sensorhub/impl/utils/rad/RADHelper.java</x:v>
      </x:c>
    </x:row>
    <x:row r="12" ht="150" customHeight="1">
      <x:c r="A12" s="223" t="str">
        <x:v>M11</x:v>
      </x:c>
      <x:c r="B12" s="223" t="str">
        <x:v>maxGamma and maxNeutron</x:v>
      </x:c>
      <x:c r="C12" s="223" t="str">
        <x:v>Source Quantity declarations have names/definitions but no units in the inspected helper methods.</x:v>
      </x:c>
      <x:c r="D12" s="223" t="str">
        <x:v>R10/R17 quantity meaning</x:v>
      </x:c>
      <x:c r="E12" s="223" t="str">
        <x:v>Keep source-qualified values and schema context; block standardized conversions lacking unit/window evidence.</x:v>
      </x:c>
      <x:c r="F12" s="223" t="str">
        <x:v>SOURCE_GAP</x:v>
      </x:c>
      <x:c r="G12" s="223" t="str">
        <x:v>Raw values and their source labels.</x:v>
      </x:c>
      <x:c r="H12" s="223" t="str">
        <x:v>Count versus rate, integration window and qualification must be established from producer evidence.</x:v>
      </x:c>
      <x:c r="I12" s="223" t="str">
        <x:v>Do not infer counts/s, dose, or uncertainty from a name.</x:v>
      </x:c>
      <x:c r="J12" s="223" t="str">
        <x:v>https://github.com/Botts-Innovative-Research/osh-oakridge-modules/blob/817f408a017302387f4f427b9b7f8ec5bcb62c70/sensors/sensorhub-utils-rad/src/main/java/org/sensorhub/impl/utils/rad/RADHelper.java</x:v>
      </x:c>
    </x:row>
    <x:row r="13" ht="150" customHeight="1">
      <x:c r="A13" s="223" t="str">
        <x:v>M12</x:v>
      </x:c>
      <x:c r="B13" s="223" t="str">
        <x:v>neutronBackground</x:v>
      </x:c>
      <x:c r="C13" s="223" t="str">
        <x:v>Description is neutron count to start occupancy.</x:v>
      </x:c>
      <x:c r="D13" s="223" t="str">
        <x:v>R10/R11/R17</x:v>
      </x:c>
      <x:c r="E13" s="223" t="str">
        <x:v>Retain source field and available qualifications.</x:v>
      </x:c>
      <x:c r="F13" s="223" t="str">
        <x:v>PARTIAL</x:v>
      </x:c>
      <x:c r="G13" s="223" t="str">
        <x:v>Background field separate from alarm and maximum.</x:v>
      </x:c>
      <x:c r="H13" s="223" t="str">
        <x:v>Exact acquisition window and dimensional semantics need corroboration.</x:v>
      </x:c>
      <x:c r="I13" s="223" t="str">
        <x:v>Do not infer it was the background used by a later WebID analysis.</x:v>
      </x:c>
      <x:c r="J13" s="223" t="str">
        <x:v>https://github.com/Botts-Innovative-Research/osh-oakridge-modules/blob/817f408a017302387f4f427b9b7f8ec5bcb62c70/sensors/sensorhub-utils-rad/src/main/java/org/sensorhub/impl/utils/rad/RADHelper.java</x:v>
      </x:c>
    </x:row>
    <x:row r="14" ht="150" customHeight="1">
      <x:c r="A14" s="223" t="str">
        <x:v>M13</x:v>
      </x:c>
      <x:c r="B14" s="223" t="str">
        <x:v>adjudicatedIds and count</x:v>
      </x:c>
      <x:c r="C14" s="223" t="str">
        <x:v>Array is described as adjudication command IDs; AdjudicationControl adds command.getID().</x:v>
      </x:c>
      <x:c r="D14" s="223" t="str">
        <x:v>R12 native command identity</x:v>
      </x:c>
      <x:c r="E14" s="223" t="str">
        <x:v>Resolve against the originating API/server command scope; follow status/result links.</x:v>
      </x:c>
      <x:c r="F14" s="223" t="str">
        <x:v>FIT_NATIVE</x:v>
      </x:c>
      <x:c r="G14" s="223" t="str">
        <x:v>References to actual commands and their returned results.</x:v>
      </x:c>
      <x:c r="H14" s="223" t="str">
        <x:v>Portable publication of the association and versioned decision history is not defined by the current common profile.</x:v>
      </x:c>
      <x:c r="I14" s="223" t="str">
        <x:v>Do not label these as IDs of a new decision resource.</x:v>
      </x:c>
      <x:c r="J14" s="223" t="str">
        <x:v>https://github.com/Botts-Innovative-Research/osh-oakridge-modules/blob/817f408a017302387f4f427b9b7f8ec5bcb62c70/sensors/sensorhub-utils-rad/src/main/java/org/sensorhub/impl/utils/rad/RADHelper.java</x:v>
      </x:c>
    </x:row>
    <x:row r="15" ht="150" customHeight="1">
      <x:c r="A15" s="223" t="str">
        <x:v>M14</x:v>
      </x:c>
      <x:c r="B15" s="223" t="str">
        <x:v>videoPaths and count</x:v>
      </x:c>
      <x:c r="C15" s="223" t="str">
        <x:v>Associated recorded video file paths.</x:v>
      </x:c>
      <x:c r="D15" s="223" t="str">
        <x:v>R10 products; R11 context</x:v>
      </x:c>
      <x:c r="E15" s="223" t="str">
        <x:v>Preserve original path; an adapter may produce a typed resolvable link using documented source base.</x:v>
      </x:c>
      <x:c r="F15" s="223" t="str">
        <x:v>BINDING_GAP</x:v>
      </x:c>
      <x:c r="G15" s="223" t="str">
        <x:v>Source path and occupancy association.</x:v>
      </x:c>
      <x:c r="H15" s="223" t="str">
        <x:v>Shared access-role, format and historical artifact identity rules need selection; a URL does not establish evidentiary relevance.</x:v>
      </x:c>
      <x:c r="I15" s="223" t="str">
        <x:v>Do not assume every path is an absolute URL, HLS manifest, or immutable recording.</x:v>
      </x:c>
      <x:c r="J15" s="223" t="str">
        <x:v>https://github.com/Botts-Innovative-Research/osh-oakridge-modules/blob/817f408a017302387f4f427b9b7f8ec5bcb62c70/sensors/sensorhub-utils-rad/src/main/java/org/sensorhub/impl/utils/rad/RADHelper.java</x:v>
      </x:c>
    </x:row>
    <x:row r="16" ht="150" customHeight="1">
      <x:c r="A16" s="223" t="str">
        <x:v>M15</x:v>
      </x:c>
      <x:c r="B16" s="223" t="str">
        <x:v>webIdObsIds and count</x:v>
      </x:c>
      <x:c r="C16" s="223" t="str">
        <x:v>Array contains analysis Observation IDs.</x:v>
      </x:c>
      <x:c r="D16" s="223" t="str">
        <x:v>R11 source lineage preservation</x:v>
      </x:c>
      <x:c r="E16" s="223" t="str">
        <x:v>Resolve analysis Observation identities in the native server scope; retain the association kind.</x:v>
      </x:c>
      <x:c r="F16" s="223" t="str">
        <x:v>BINDING_GAP</x:v>
      </x:c>
      <x:c r="G16" s="223" t="str">
        <x:v>Which analysis records OSCAR associates with this occupancy.</x:v>
      </x:c>
      <x:c r="H16" s="223" t="str">
        <x:v>Common-client association/derivation navigation remains unfinished in R11.</x:v>
      </x:c>
      <x:c r="I16" s="223" t="str">
        <x:v>Same-occupancy association alone does not identify the inputs used by the analysis.</x:v>
      </x:c>
      <x:c r="J16" s="223" t="str">
        <x:v>https://github.com/Botts-Innovative-Research/osh-oakridge-modules/blob/817f408a017302387f4f427b9b7f8ec5bcb62c70/sensors/sensorhub-utils-rad/src/main/java/org/sensorhub/impl/utils/rad/RADHelper.java</x:v>
      </x:c>
    </x:row>
    <x:row r="17" ht="150" customHeight="1">
      <x:c r="A17" s="223" t="str">
        <x:v>M16</x:v>
      </x:c>
      <x:c r="B17" s="223" t="str">
        <x:v>WebID foreground/background inputs</x:v>
      </x:c>
      <x:c r="C17" s="223" t="str">
        <x:v>Analysis request supplies foreground bytes, optional background, DRF and background-synthesis choice.</x:v>
      </x:c>
      <x:c r="D17" s="223" t="str">
        <x:v>R11 lineage; R09 parameters</x:v>
      </x:c>
      <x:c r="E17" s="223" t="str">
        <x:v>Candidate PROV Activity uses the exact input entities and configuration; results remain native outputs.</x:v>
      </x:c>
      <x:c r="F17" s="223" t="str">
        <x:v>BINDING_GAP</x:v>
      </x:c>
      <x:c r="G17" s="223" t="str">
        <x:v>Dependency direction and chosen input roles when captured.</x:v>
      </x:c>
      <x:c r="H17" s="223" t="str">
        <x:v>Runtime input identity/revision, run identity and version evidence are absent from the synthetic case.</x:v>
      </x:c>
      <x:c r="I17" s="223" t="str">
        <x:v>Do not invent an input artifact hash, algorithm version or a fully logged execution.</x:v>
      </x:c>
      <x:c r="J17" s="223" t="str">
        <x:v>https://github.com/Botts-Innovative-Research/osh-oakridge-modules/blob/817f408a017302387f4f427b9b7f8ec5bcb62c70/sensors/sensorhub-utils-rad/src/main/java/org/sensorhub/impl/utils/rad/webid/WebIdAnalyzer.java</x:v>
      </x:c>
    </x:row>
    <x:row r="18" ht="150" customHeight="1">
      <x:c r="A18" s="223" t="str">
        <x:v>M17</x:v>
      </x:c>
      <x:c r="B18" s="223" t="str">
        <x:v>Cambio conversion</x:v>
      </x:c>
      <x:c r="C18" s="223" t="str">
        <x:v>Non-N42 input can be converted before publication/analysis; raw path may also succeed without conversion.</x:v>
      </x:c>
      <x:c r="D18" s="223" t="str">
        <x:v>R11 lineage; R10 product</x:v>
      </x:c>
      <x:c r="E18" s="223" t="str">
        <x:v>Candidate generation/derivation links only for the branch actually executed; retain original and transformed artifacts separately.</x:v>
      </x:c>
      <x:c r="F18" s="223" t="str">
        <x:v>PARTIAL</x:v>
      </x:c>
      <x:c r="G18" s="223" t="str">
        <x:v>Conversion versus direct-input distinction.</x:v>
      </x:c>
      <x:c r="H18" s="223" t="str">
        <x:v>A given execution branch is unknown without logs or explicit records.</x:v>
      </x:c>
      <x:c r="I18" s="223" t="str">
        <x:v>Do not assert every WebID result passed through Cambio.</x:v>
      </x:c>
      <x:c r="J18" s="223" t="str">
        <x:v>https://github.com/Botts-Innovative-Research/osh-oakridge-modules/blob/817f408a017302387f4f427b9b7f8ec5bcb62c70/sensors/sensorhub-utils-rad/src/main/java/org/sensorhub/impl/utils/rad/webid/WebIdAnalyzer.java</x:v>
      </x:c>
    </x:row>
    <x:row r="19" ht="150" customHeight="1">
      <x:c r="A19" s="223" t="str">
        <x:v>M18</x:v>
      </x:c>
      <x:c r="B19" s="223" t="str">
        <x:v>Adjudication action and result</x:v>
      </x:c>
      <x:c r="C19" s="223" t="str">
        <x:v>Command checks occupancy observation and returns structured decision information.</x:v>
      </x:c>
      <x:c r="D19" s="223" t="str">
        <x:v>R12 action/control/status/result</x:v>
      </x:c>
      <x:c r="E19" s="223" t="str">
        <x:v>Keep Command, CommandStatus and inline CommandResult as distinct native records.</x:v>
      </x:c>
      <x:c r="F19" s="223" t="str">
        <x:v>FIT_NATIVE</x:v>
      </x:c>
      <x:c r="G19" s="223" t="str">
        <x:v>Request identity, outcome and returned structured content.</x:v>
      </x:c>
      <x:c r="H19" s="223" t="str">
        <x:v>A future case history may need revision/retention rules; this does not force a second decision endpoint.</x:v>
      </x:c>
      <x:c r="I19" s="223" t="str">
        <x:v>COMPLETED confirms the command result, not independent physical verification or decision correctness.</x:v>
      </x:c>
      <x:c r="J19" s="223" t="str">
        <x:v>https://github.com/Botts-Innovative-Research/osh-oakridge-modules/blob/817f408a017302387f4f427b9b7f8ec5bcb62c70/sensors/sensorhub-system-lane/src/main/java/com/botts/impl/system/lane/AdjudicationControl.java</x:v>
      </x:c>
    </x:row>
    <x:row r="20" ht="150" customHeight="1">
      <x:c r="A20" s="223" t="str">
        <x:v>M19</x:v>
      </x:c>
      <x:c r="B20" s="223" t="str">
        <x:v>Human attribution</x:v>
      </x:c>
      <x:c r="C20" s="223" t="str">
        <x:v>Result carries command sender username, or an Unknown fallback.</x:v>
      </x:c>
      <x:c r="D20" s="223" t="str">
        <x:v>R12 sender/result; qualified provenance</x:v>
      </x:c>
      <x:c r="E20" s="223" t="str">
        <x:v>Preserve source actor assertion; candidate PROV attribution only to a supported actor identity.</x:v>
      </x:c>
      <x:c r="F20" s="223" t="str">
        <x:v>PARTIAL</x:v>
      </x:c>
      <x:c r="G20" s="223" t="str">
        <x:v>Source-provided attribution with uncertainty.</x:v>
      </x:c>
      <x:c r="H20" s="223" t="str">
        <x:v>Authenticated identity mapping and responsibility semantics not established by a username alone.</x:v>
      </x:c>
      <x:c r="I20" s="223" t="str">
        <x:v>Do not convert Unknown into a known person or treat text as verified authorization.</x:v>
      </x:c>
      <x:c r="J20" s="223" t="str">
        <x:v>https://github.com/Botts-Innovative-Research/osh-oakridge-modules/blob/817f408a017302387f4f427b9b7f8ec5bcb62c70/sensors/sensorhub-system-lane/src/main/java/com/botts/impl/system/lane/AdjudicationControl.java</x:v>
      </x:c>
    </x:row>
    <x:row r="21" ht="150" customHeight="1">
      <x:c r="A21" s="223" t="str">
        <x:v>M20</x:v>
      </x:c>
      <x:c r="B21" s="223" t="str">
        <x:v>Threshold meaning and control</x:v>
      </x:c>
      <x:c r="C21" s="223" t="str">
        <x:v>Helper describes a calculated alarm threshold.</x:v>
      </x:c>
      <x:c r="D21" s="223" t="str">
        <x:v>R08/R09/R12</x:v>
      </x:c>
      <x:c r="E21" s="223" t="str">
        <x:v>Retain reported threshold as product/state; bind to a parameter/control only when source demonstrates writability and effect.</x:v>
      </x:c>
      <x:c r="F21" s="223" t="str">
        <x:v>PARTIAL</x:v>
      </x:c>
      <x:c r="G21" s="223" t="str">
        <x:v>Observed/calculated threshold separate from requested configuration.</x:v>
      </x:c>
      <x:c r="H21" s="223" t="str">
        <x:v>Actual controls, effect and historical version require source-specific evidence.</x:v>
      </x:c>
      <x:c r="I21" s="223" t="str">
        <x:v>Do not map every threshold output directly to an editable setting.</x:v>
      </x:c>
      <x:c r="J21" s="223" t="str">
        <x:v>https://github.com/Botts-Innovative-Research/osh-oakridge-modules/blob/817f408a017302387f4f427b9b7f8ec5bcb62c70/sensors/sensorhub-utils-rad/src/main/java/org/sensorhub/impl/utils/rad/RADHelper.java</x:v>
      </x:c>
    </x:row>
    <x:row r="22" ht="150" customHeight="1">
      <x:c r="A22" s="223" t="str">
        <x:v>M21</x:v>
      </x:c>
      <x:c r="B22" s="223" t="str">
        <x:v>HLS start/stop and returned path</x:v>
      </x:c>
      <x:c r="C22" s="223" t="str">
        <x:v>Control starts/stops file-backed streaming and returns streamPath.</x:v>
      </x:c>
      <x:c r="D22" s="223" t="str">
        <x:v>R12 result; R10 product</x:v>
      </x:c>
      <x:c r="E22" s="223" t="str">
        <x:v>Existing command/result path plus a prospective typed external result/service link.</x:v>
      </x:c>
      <x:c r="F22" s="223" t="str">
        <x:v>BINDING_GAP</x:v>
      </x:c>
      <x:c r="G22" s="223" t="str">
        <x:v>Action, returned access information and source lifecycle.</x:v>
      </x:c>
      <x:c r="H22" s="223" t="str">
        <x:v>Absolute/relative resolution, MIME and live-session semantics require published contract.</x:v>
      </x:c>
      <x:c r="I22" s="223" t="str">
        <x:v>A mutable live playlist is not a historical immutable evidence artifact.</x:v>
      </x:c>
      <x:c r="J22" s="223" t="str">
        <x:v>https://github.com/Botts-Innovative-Research/osh-oakridge-modules/blob/817f408a017302387f4f427b9b7f8ec5bcb62c70/sensors/sensorhub-driver-ffmpeg/src/main/java/org/sensorhub/impl/sensor/ffmpeg/controls/HLSControl.java</x:v>
      </x:c>
    </x:row>
    <x:row r="23" ht="150" customHeight="1">
      <x:c r="A23" s="223" t="str">
        <x:v>M22</x:v>
      </x:c>
      <x:c r="B23" s="223" t="str">
        <x:v>Power, faults and service history</x:v>
      </x:c>
      <x:c r="C23" s="223" t="str">
        <x:v>The selected contract does not provide a complete power or maintenance instance.</x:v>
      </x:c>
      <x:c r="D23" s="223" t="str">
        <x:v>R13–R20</x:v>
      </x:c>
      <x:c r="E23" s="223" t="str">
        <x:v>Use existing power/condition/service sections if actual donor data are available.</x:v>
      </x:c>
      <x:c r="F23" s="223" t="str">
        <x:v>SOURCE_GAP</x:v>
      </x:c>
      <x:c r="G23" s="223" t="str">
        <x:v>Applicability remains; absence is explicit.</x:v>
      </x:c>
      <x:c r="H23" s="223" t="str">
        <x:v>No supply graph, battery reading or maintenance event is created.</x:v>
      </x:c>
      <x:c r="I23" s="223" t="str">
        <x:v>Do not infer absent information means the device has no power source or service history.</x:v>
      </x:c>
      <x:c r="J23" s="223" t="str">
        <x:v>https://github.com/Botts-Innovative-Research/osh-oakridge-buildnode/blob/ab8b847b662152bd949157197182bfdf8c429d21/dist/documentation/OSCAR_System_Documentation_Manual_3.5.md</x:v>
      </x:c>
    </x:row>
    <x:row r="24" ht="150" customHeight="1">
      <x:c r="A24" s="223" t="str">
        <x:v>M23</x:v>
      </x:c>
      <x:c r="B24" s="223" t="str">
        <x:v>Media encoding and browser delivery</x:v>
      </x:c>
      <x:c r="C24" s="223" t="str">
        <x:v>Runtime generates files and serves media via companion service.</x:v>
      </x:c>
      <x:c r="D24" s="223" t="str">
        <x:v>Implementation boundary</x:v>
      </x:c>
      <x:c r="E24" s="223" t="str">
        <x:v>Retain external delivery protocol; DIM describes relevant result/access relationships only.</x:v>
      </x:c>
      <x:c r="F24" s="223" t="str">
        <x:v>IMPLEMENTATION_ONLY</x:v>
      </x:c>
      <x:c r="G24" s="223" t="str">
        <x:v>Responsibility separation.</x:v>
      </x:c>
      <x:c r="H24" s="223" t="str">
        <x:v>A renderer/transcoder/driver is still needed; not a defect in DIM coverage.</x:v>
      </x:c>
      <x:c r="I24" s="223" t="str">
        <x:v>A profile does not execute HLS generation or instrument control.</x:v>
      </x:c>
      <x:c r="J24" s="223" t="str">
        <x:v>https://github.com/Botts-Innovative-Research/osh-oakridge-modules/blob/817f408a017302387f4f427b9b7f8ec5bcb62c70/sensors/sensorhub-driver-ffmpeg/src/main/java/org/sensorhub/impl/sensor/ffmpeg/controls/HLSControl.java</x:v>
      </x:c>
    </x:row>
    <x:row r="25" ht="150" customHeight="1">
      <x:c r="A25" s="223" t="str">
        <x:v>M24</x:v>
      </x:c>
      <x:c r="B25" s="223" t="str">
        <x:v>N42 count vector and energy windows</x:v>
      </x:c>
      <x:c r="C25" s="223" t="str">
        <x:v>GC-1-1 has three counts linked to three explicit energy windows and detector Aa1.</x:v>
      </x:c>
      <x:c r="D25" s="223" t="str">
        <x:v>R01/R02/R10/R11/R17</x:v>
      </x:c>
      <x:c r="E25" s="223" t="str">
        <x:v>Source-qualified result structure and calibration/window context; native artifact retained.</x:v>
      </x:c>
      <x:c r="F25" s="223" t="str">
        <x:v>FIT_NATIVE</x:v>
      </x:c>
      <x:c r="G25" s="223" t="str">
        <x:v>[5,22,200], 0.1s live/real duration, explicit window association and zero values elsewhere.</x:v>
      </x:c>
      <x:c r="H25" s="223" t="str">
        <x:v>Exact units/edition rules and complete N42 mapping not certified.</x:v>
      </x:c>
      <x:c r="I25" s="223" t="str">
        <x:v>Do not collapse a three-window vector into one count or infer missing unit defaults.</x:v>
      </x:c>
      <x:c r="J25" s="223" t="str">
        <x:v>https://github.com/Botts-Innovative-Research/osh-oakridge-modules/blob/817f408a017302387f4f427b9b7f8ec5bcb62c70/sensors/sensorhub-utils-rad/src/main/N42/examples/Annex%20D.n42</x:v>
      </x:c>
    </x:row>
    <x:row r="26" ht="150" customHeight="1">
      <x:c r="A26" s="223" t="str">
        <x:v>M25</x:v>
      </x:c>
      <x:c r="B26" s="223" t="str">
        <x:v>N42 measurement-group membership</x:v>
      </x:c>
      <x:c r="C26" s="223" t="str">
        <x:v>M-1 and M-2 explicitly reference MG-1 even though both are Background.</x:v>
      </x:c>
      <x:c r="D26" s="223" t="str">
        <x:v>R11 contextual grouping boundary</x:v>
      </x:c>
      <x:c r="E26" s="223" t="str">
        <x:v>Preserve group membership; OMS observation collections are a candidate model, not a new CSAPI endpoint.</x:v>
      </x:c>
      <x:c r="F26" s="223" t="str">
        <x:v>BINDING_GAP</x:v>
      </x:c>
      <x:c r="G26" s="223" t="str">
        <x:v>Native group and measured-record membership.</x:v>
      </x:c>
      <x:c r="H26" s="223" t="str">
        <x:v>Common navigation binding and exact mapped collection semantics remain to be specified.</x:v>
      </x:c>
      <x:c r="I26" s="223" t="str">
        <x:v>Group membership does not mean occupied interval, same vehicle identity or analysis-input usage.</x:v>
      </x:c>
      <x:c r="J26" s="223" t="str">
        <x:v>https://github.com/Botts-Innovative-Research/osh-oakridge-modules/blob/817f408a017302387f4f427b9b7f8ec5bcb62c70/sensors/sensorhub-utils-rad/src/main/N42/examples/Annex%20D.n42</x:v>
      </x:c>
    </x:row>
    <x:row r="27" ht="150" customHeight="1">
      <x:c r="A27" s="223" t="str">
        <x:v>M26</x:v>
      </x:c>
      <x:c r="B27" s="223" t="str">
        <x:v>N42 spectrum derivation</x:v>
      </x:c>
      <x:c r="C27" s="223" t="str">
        <x:v>Summed spectrum explicitly references four raw spectra; analysis references SumData.</x:v>
      </x:c>
      <x:c r="D27" s="223" t="str">
        <x:v>R11 derivation boundary</x:v>
      </x:c>
      <x:c r="E27" s="223" t="str">
        <x:v>Candidate PROV entities and derivation relations; exact source pointers retained.</x:v>
      </x:c>
      <x:c r="F27" s="223" t="str">
        <x:v>BINDING_GAP</x:v>
      </x:c>
      <x:c r="G27" s="223" t="str">
        <x:v>Specific dependency chain, not all same-file records.</x:v>
      </x:c>
      <x:c r="H27" s="223" t="str">
        <x:v>Historical 2011 example; no full spectrum arithmetic/validation or real WebID relation claimed.</x:v>
      </x:c>
      <x:c r="I27" s="223" t="str">
        <x:v>Do not attach this example to the unrelated synthetic OSCAR occupancy.</x:v>
      </x:c>
      <x:c r="J27" s="223" t="str">
        <x:v>https://github.com/Botts-Innovative-Research/osh-oakridge-modules/blob/817f408a017302387f4f427b9b7f8ec5bcb62c70/sensors/sensorhub-utils-rad/src/main/N42/examples/Annex%20E.n42</x:v>
      </x:c>
    </x:row>
    <x:row r="28" ht="150" customHeight="1">
      <x:c r="A28" s="223" t="str">
        <x:v>M27</x:v>
      </x:c>
      <x:c r="B28" s="223" t="str">
        <x:v>Investigation or case lifecycle</x:v>
      </x:c>
      <x:c r="C28" s="223" t="str">
        <x:v>Manual describes follow-up and adjudication history.</x:v>
      </x:c>
      <x:c r="D28" s="223" t="str">
        <x:v>Related workflow, not automatically common core</x:v>
      </x:c>
      <x:c r="E28" s="223" t="str">
        <x:v>Use native results where sufficient; CMMN only if continuing case identity/lifecycle is required.</x:v>
      </x:c>
      <x:c r="F28" s="223" t="str">
        <x:v>BINDING_GAP</x:v>
      </x:c>
      <x:c r="G28" s="223" t="str">
        <x:v>Need distinguished from passage and source records.</x:v>
      </x:c>
      <x:c r="H28" s="223" t="str">
        <x:v>No actual case lifecycle requirements or CMMN binding established in this increment.</x:v>
      </x:c>
      <x:c r="I28" s="223" t="str">
        <x:v>Do not replace one speculative Operational Episode with an equally unexamined Case object.</x:v>
      </x:c>
      <x:c r="J28" s="223" t="str">
        <x:v>https://github.com/Botts-Innovative-Research/osh-oakridge-buildnode/blob/ab8b847b662152bd949157197182bfdf8c429d21/dist/documentation/OSCAR_System_Documentation_Manual_3.5.md</x:v>
      </x:c>
    </x:row>
  </x:sheetData>
  <x:pageMargins left="0.7" right="0.7" top="0.75" bottom="0.75" header="0.3" footer="0.3"/>
  <x:tableParts count="1">
    <x:tablePart xmlns:r="http://schemas.openxmlformats.org/officeDocument/2006/relationships" r:id="R97137ce9165d4a46"/>
  </x:tableParts>
</x:worksheet>
</file>

<file path=xl/worksheets/sheet2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30" hidden="0" customWidth="1"/>
    <x:col min="3" max="3" width="24" hidden="0" customWidth="1"/>
    <x:col min="4" max="4" width="46" hidden="0" customWidth="1"/>
    <x:col min="5" max="5" width="30" hidden="0" customWidth="1"/>
    <x:col min="6" max="6" width="46" hidden="0" customWidth="1"/>
    <x:col min="7" max="7" width="40" hidden="0" customWidth="1"/>
  </x:cols>
  <x:sheetData>
    <x:row r="1" ht="38" customHeight="1">
      <x:c r="A1" s="361" t="str">
        <x:v>ID</x:v>
      </x:c>
      <x:c r="B1" s="361" t="str">
        <x:v>Question</x:v>
      </x:c>
      <x:c r="C1" s="361" t="str">
        <x:v>Gap kind</x:v>
      </x:c>
      <x:c r="D1" s="361" t="str">
        <x:v>Finding</x:v>
      </x:c>
      <x:c r="E1" s="361" t="str">
        <x:v>Sources</x:v>
      </x:c>
      <x:c r="F1" s="361" t="str">
        <x:v>Next action</x:v>
      </x:c>
      <x:c r="G1" s="361" t="str">
        <x:v>Boundary</x:v>
      </x:c>
    </x:row>
    <x:row r="2" ht="150" customHeight="1">
      <x:c r="A2" s="223" t="str">
        <x:v>OG01</x:v>
      </x:c>
      <x:c r="B2" s="223" t="str">
        <x:v>Source identity and lane boundary</x:v>
      </x:c>
      <x:c r="C2" s="223" t="str">
        <x:v>SOURCE</x:v>
      </x:c>
      <x:c r="D2" s="223" t="str">
        <x:v>No source instance proves physical containment, exact lane extent or employment interval.</x:v>
      </x:c>
      <x:c r="E2" s="223" t="str">
        <x:v>R01–R08; S138–S140</x:v>
      </x:c>
      <x:c r="F2" s="223" t="str">
        <x:v>Preserve registered membership; request actual instance assertions only when implementing the adapter.</x:v>
      </x:c>
      <x:c r="G2" s="223" t="str">
        <x:v>Not resolved by a new episode class.</x:v>
      </x:c>
    </x:row>
    <x:row r="3" ht="150" customHeight="1">
      <x:c r="A3" s="223" t="str">
        <x:v>OG02</x:v>
      </x:c>
      <x:c r="B3" s="223" t="str">
        <x:v>Radiation function and property vocabulary</x:v>
      </x:c>
      <x:c r="C3" s="223" t="str">
        <x:v>VOCABULARY</x:v>
      </x:c>
      <x:c r="D3" s="223" t="str">
        <x:v>Current function-kind catalogue is illustrative; detailed radiation quantities/roles need an explicit edition-qualified vocabulary.</x:v>
      </x:c>
      <x:c r="E3" s="223" t="str">
        <x:v>R04/R09/R17; S121/S123/S125–S127</x:v>
      </x:c>
      <x:c r="F3" s="223" t="str">
        <x:v>Draft smallest vocabulary extension and cite exact donor semantics; do not relabel radiation as environmental measurement.</x:v>
      </x:c>
      <x:c r="G3" s="223" t="str">
        <x:v>Finite next binding increment; no architecture reset.</x:v>
      </x:c>
    </x:row>
    <x:row r="4" ht="150" customHeight="1">
      <x:c r="A4" s="223" t="str">
        <x:v>OG03</x:v>
      </x:c>
      <x:c r="B4" s="223" t="str">
        <x:v>Source timestamp and quantity qualifications</x:v>
      </x:c>
      <x:c r="C4" s="223" t="str">
        <x:v>SOURCE</x:v>
      </x:c>
      <x:c r="D4" s="223" t="str">
        <x:v>Reception-time description conflicts with helper semantics; maxima lack units in inspected helpers.</x:v>
      </x:c>
      <x:c r="E4" s="223" t="str">
        <x:v>R11/R17; S139</x:v>
      </x:c>
      <x:c r="F4" s="223" t="str">
        <x:v>Preserve original fields and report uncertainty; obtain producer/driver evidence before normalization.</x:v>
      </x:c>
      <x:c r="G4" s="223" t="str">
        <x:v>Model expressivity cannot supply missing source facts.</x:v>
      </x:c>
    </x:row>
    <x:row r="5" ht="150" customHeight="1">
      <x:c r="A5" s="223" t="str">
        <x:v>OG04</x:v>
      </x:c>
      <x:c r="B5" s="223" t="str">
        <x:v>Grouping and cross-record navigation</x:v>
      </x:c>
      <x:c r="C5" s="223" t="str">
        <x:v>BINDING</x:v>
      </x:c>
      <x:c r="D5" s="223" t="str">
        <x:v>Source-qualified associations are retained, but common R11 navigation is not fully defined.</x:v>
      </x:c>
      <x:c r="E5" s="223" t="str">
        <x:v>S97; S125/S126; S128/S129/S132</x:v>
      </x:c>
      <x:c r="F5" s="223" t="str">
        <x:v>Reuse explicit N42 groups and known target roles; test a narrow association/provenance binding.</x:v>
      </x:c>
      <x:c r="G5" s="223" t="str">
        <x:v>Membership, observation subject, evidence role and derivation remain different.</x:v>
      </x:c>
    </x:row>
    <x:row r="6" ht="150" customHeight="1">
      <x:c r="A6" s="223" t="str">
        <x:v>OG05</x:v>
      </x:c>
      <x:c r="B6" s="223" t="str">
        <x:v>Versioned processing provenance</x:v>
      </x:c>
      <x:c r="C6" s="223" t="str">
        <x:v>BINDING + SOURCE</x:v>
      </x:c>
      <x:c r="D6" s="223" t="str">
        <x:v>Some source code identifies inputs but no concrete execution capture fixes input revisions, run identity or all versions.</x:v>
      </x:c>
      <x:c r="E6" s="223" t="str">
        <x:v>S128–S132; S139</x:v>
      </x:c>
      <x:c r="F6" s="223" t="str">
        <x:v>Candidate PROV-O document for supported dependencies; no speculative activity or input revision.</x:v>
      </x:c>
      <x:c r="G6" s="223" t="str">
        <x:v>Source capture precedes complete runtime provenance claims.</x:v>
      </x:c>
    </x:row>
    <x:row r="7" ht="150" customHeight="1">
      <x:c r="A7" s="223" t="str">
        <x:v>OG06</x:v>
      </x:c>
      <x:c r="B7" s="223" t="str">
        <x:v>Media/product access and identity</x:v>
      </x:c>
      <x:c r="C7" s="223" t="str">
        <x:v>BINDING</x:v>
      </x:c>
      <x:c r="D7" s="223" t="str">
        <x:v>Path construction is application-specific; external access and immutable historical identity are not the same.</x:v>
      </x:c>
      <x:c r="E7" s="223" t="str">
        <x:v>S04/S131/S133; S138/S139</x:v>
      </x:c>
      <x:c r="F7" s="223" t="str">
        <x:v>Use native typed result links where appropriate; consider provenance links; DCAT only for actual catalog needs.</x:v>
      </x:c>
      <x:c r="G7" s="223" t="str">
        <x:v>No mandatory artifact service or RDF store.</x:v>
      </x:c>
    </x:row>
    <x:row r="8" ht="150" customHeight="1">
      <x:c r="A8" s="223" t="str">
        <x:v>OG07</x:v>
      </x:c>
      <x:c r="B8" s="223" t="str">
        <x:v>Adjudication history versus continuing case</x:v>
      </x:c>
      <x:c r="C8" s="223" t="str">
        <x:v>REQUIREMENT</x:v>
      </x:c>
      <x:c r="D8" s="223" t="str">
        <x:v>Command/result preserves one returned assertion; a continuing case’s lifecycle and revision requirements are not specified here.</x:v>
      </x:c>
      <x:c r="E8" s="223" t="str">
        <x:v>R12; S134/S136/S139/S140</x:v>
      </x:c>
      <x:c r="F8" s="223" t="str">
        <x:v>Keep native result first; investigate CMMN only when independent case identity/lifecycle is demonstrated.</x:v>
      </x:c>
      <x:c r="G8" s="223" t="str">
        <x:v>Do not automatically create a separate decision resource.</x:v>
      </x:c>
    </x:row>
    <x:row r="9" ht="150" customHeight="1">
      <x:c r="A9" s="223" t="str">
        <x:v>OG08</x:v>
      </x:c>
      <x:c r="B9" s="223" t="str">
        <x:v>N42 edition and normative validation</x:v>
      </x:c>
      <x:c r="C9" s="223" t="str">
        <x:v>ACCESS / EDITION</x:v>
      </x:c>
      <x:c r="D9" s="223" t="str">
        <x:v>Historical2011 examples inspected; 2020 artifact downloads failed; full IEEE/IEC text not inspected in this increment.</x:v>
      </x:c>
      <x:c r="E9" s="223" t="str">
        <x:v>S125–S127/S137/S139</x:v>
      </x:c>
      <x:c r="F9" s="223" t="str">
        <x:v>Pin native edition; obtain applicable normative documents and matching schemas before conformance claims.</x:v>
      </x:c>
      <x:c r="G9" s="223" t="str">
        <x:v>Historical examples remain useful; do not relabel them2020.</x:v>
      </x:c>
    </x:row>
  </x:sheetData>
  <x:pageMargins left="0.7" right="0.7" top="0.75" bottom="0.75" header="0.3" footer="0.3"/>
  <x:tableParts count="1">
    <x:tablePart xmlns:r="http://schemas.openxmlformats.org/officeDocument/2006/relationships" r:id="Rdc22d218b5734637"/>
  </x:tableParts>
</x:worksheet>
</file>

<file path=xl/worksheets/sheet2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9" hidden="0" customWidth="1"/>
    <x:col min="2" max="2" width="26" hidden="0" customWidth="1"/>
    <x:col min="3" max="3" width="35" hidden="0" customWidth="1"/>
    <x:col min="4" max="4" width="54" hidden="0" customWidth="1"/>
    <x:col min="5" max="5" width="49" hidden="0" customWidth="1"/>
  </x:cols>
  <x:sheetData>
    <x:row r="1" ht="38" customHeight="1">
      <x:c r="A1" s="361" t="str">
        <x:v>ID</x:v>
      </x:c>
      <x:c r="B1" s="361" t="str">
        <x:v>Disposition</x:v>
      </x:c>
      <x:c r="C1" s="361" t="str">
        <x:v>Subject</x:v>
      </x:c>
      <x:c r="D1" s="361" t="str">
        <x:v>Reason</x:v>
      </x:c>
      <x:c r="E1" s="361" t="str">
        <x:v>Effect</x:v>
      </x:c>
    </x:row>
    <x:row r="2" ht="150" customHeight="1">
      <x:c r="A2" s="223" t="str">
        <x:v>OD01</x:v>
      </x:c>
      <x:c r="B2" s="223" t="str">
        <x:v>RETAIN</x:v>
      </x:c>
      <x:c r="C2" s="223" t="str">
        <x:v>Eight information subjects and R01–R20</x:v>
      </x:c>
      <x:c r="D2" s="223" t="str">
        <x:v>No inspected item requires changing the established meaning of System, Deployment, function or output.</x:v>
      </x:c>
      <x:c r="E2" s="223" t="str">
        <x:v>Current profile v0.3.5 retained byte-for-byte.</x:v>
      </x:c>
    </x:row>
    <x:row r="3" ht="150" customHeight="1">
      <x:c r="A3" s="223" t="str">
        <x:v>OD02</x:v>
      </x:c>
      <x:c r="B3" s="223" t="str">
        <x:v>HOLD</x:v>
      </x:c>
      <x:c r="C3" s="223" t="str">
        <x:v>Operational Episode / Screening Episode core addition</x:v>
      </x:c>
      <x:c r="D3" s="223" t="str">
        <x:v>The source already provides occupancy records; N42 offers grouping and derivation constructs. A new universal entity is not established as necessary.</x:v>
      </x:c>
      <x:c r="E3" s="223" t="str">
        <x:v>Not adopted; no new core class or endpoint.</x:v>
      </x:c>
    </x:row>
    <x:row r="4" ht="150" customHeight="1">
      <x:c r="A4" s="223" t="str">
        <x:v>OD03</x:v>
      </x:c>
      <x:c r="B4" s="223" t="str">
        <x:v>CLARIFY</x:v>
      </x:c>
      <x:c r="C4" s="223" t="str">
        <x:v>Current vocabulary maturity</x:v>
      </x:c>
      <x:c r="D4" s="223" t="str">
        <x:v>The existing function-kind catalogue contains two illustrative values; conceptual fit is not complete specialization conformance.</x:v>
      </x:c>
      <x:c r="E4" s="223" t="str">
        <x:v>Recorded in mapping, research and plan; no fabricated code inserted.</x:v>
      </x:c>
    </x:row>
    <x:row r="5" ht="150" customHeight="1">
      <x:c r="A5" s="223" t="str">
        <x:v>OD04</x:v>
      </x:c>
      <x:c r="B5" s="223" t="str">
        <x:v>SELECT FOR FOLLOW-ON</x:v>
      </x:c>
      <x:c r="C5" s="223" t="str">
        <x:v>PROV-DM / PROV-O for supported lineage</x:v>
      </x:c>
      <x:c r="D5" s="223" t="str">
        <x:v>Explicit derivation is not grouping; PROV supports the distinction and SSN draft provides a formal alignment.</x:v>
      </x:c>
      <x:c r="E5" s="223" t="str">
        <x:v>Candidate RDF specimen only; normative MPSS binding not yet adopted.</x:v>
      </x:c>
    </x:row>
    <x:row r="6" ht="150" customHeight="1">
      <x:c r="A6" s="223" t="str">
        <x:v>OD05</x:v>
      </x:c>
      <x:c r="B6" s="223" t="str">
        <x:v>REUSE FIRST</x:v>
      </x:c>
      <x:c r="C6" s="223" t="str">
        <x:v>Native CSAPI result relationships</x:v>
      </x:c>
      <x:c r="D6" s="223" t="str">
        <x:v>Inline or linked CommandResult can retain a decision/product; no new resource is necessary solely to avoid a path convention.</x:v>
      </x:c>
      <x:c r="E6" s="223" t="str">
        <x:v>Native options documented; actual source contract compatibility remains explicit.</x:v>
      </x:c>
    </x:row>
    <x:row r="7" ht="150" customHeight="1">
      <x:c r="A7" s="223" t="str">
        <x:v>OD06</x:v>
      </x:c>
      <x:c r="B7" s="223" t="str">
        <x:v>DEFER CONDITIONALLY</x:v>
      </x:c>
      <x:c r="C7" s="223" t="str">
        <x:v>DCAT, Processes and CMMN</x:v>
      </x:c>
      <x:c r="D7" s="223" t="str">
        <x:v>Each solves a different requirement; none is mandatory merely because OSCAR has files, analysis or adjudication.</x:v>
      </x:c>
      <x:c r="E7" s="223" t="str">
        <x:v>No stack expansion or service deployment.</x:v>
      </x:c>
    </x:row>
    <x:row r="8" ht="150" customHeight="1">
      <x:c r="A8" s="223" t="str">
        <x:v>OD07</x:v>
      </x:c>
      <x:c r="B8" s="223" t="str">
        <x:v>RECONCILE</x:v>
      </x:c>
      <x:c r="C8" s="223" t="str">
        <x:v>Codex v0.3.2 comparison</x:v>
      </x:c>
      <x:c r="D8" s="223" t="str">
        <x:v>Current v0.3.5 already handles mode scope, source identity, lineage preservation and quantity qualifications; review claims are corrected against that baseline.</x:v>
      </x:c>
      <x:c r="E8" s="223" t="str">
        <x:v>Original review files preserved as inputs, not governing successor design.</x:v>
      </x:c>
    </x:row>
    <x:row r="9" ht="150" customHeight="1">
      <x:c r="A9" s="223" t="str">
        <x:v>OD08</x:v>
      </x:c>
      <x:c r="B9" s="223" t="str">
        <x:v>PRESERVE</x:v>
      </x:c>
      <x:c r="C9" s="223" t="str">
        <x:v>Missing/ambiguous source evidence</x:v>
      </x:c>
      <x:c r="D9" s="223" t="str">
        <x:v>No fabricated geometry, power graph, physical identity, units, run identity or event correlation.</x:v>
      </x:c>
      <x:c r="E9" s="223" t="str">
        <x:v>Mapped as explicit source gaps.</x:v>
      </x:c>
    </x:row>
    <x:row r="10" ht="150" customHeight="1">
      <x:c r="A10" s="223" t="str">
        <x:v>OD09</x:v>
      </x:c>
      <x:c r="B10" s="223" t="str">
        <x:v>UPDATE</x:v>
      </x:c>
      <x:c r="C10" s="223" t="str">
        <x:v>Master research and continuity</x:v>
      </x:c>
      <x:c r="D10" s="223" t="str">
        <x:v>16 source identities added; old124 preserved; source relationships and residuals registered.</x:v>
      </x:c>
      <x:c r="E10" s="223" t="str">
        <x:v>Research v0.10; PITON4.6; plan1.6; technical baseline unchanged.</x:v>
      </x:c>
    </x:row>
    <x:row r="11" ht="150" customHeight="1">
      <x:c r="A11" s="223" t="str">
        <x:v>OD10</x:v>
      </x:c>
      <x:c r="B11" s="223" t="str">
        <x:v>NEXT BOUNDED TASK</x:v>
      </x:c>
      <x:c r="C11" s="223" t="str">
        <x:v>OSCAR vocabulary and relationship binding specimen</x:v>
      </x:c>
      <x:c r="D11" s="223" t="str">
        <x:v>Specify only required function/property codes and exact publication of the selected association/media/provenance links.</x:v>
      </x:c>
      <x:c r="E11" s="223" t="str">
        <x:v>Then test existing server and generic/profile-aware clients; no blanket redesign or full OSCAR recreation.</x:v>
      </x:c>
    </x:row>
  </x:sheetData>
  <x:pageMargins left="0.7" right="0.7" top="0.75" bottom="0.75" header="0.3" footer="0.3"/>
  <x:tableParts count="1">
    <x:tablePart xmlns:r="http://schemas.openxmlformats.org/officeDocument/2006/relationships" r:id="Rf9718e57ac9743e5"/>
  </x:tableParts>
</x:worksheet>
</file>

<file path=xl/worksheets/sheet29.xml><?xml version="1.0" encoding="utf-8"?>
<x:worksheet xmlns:x="http://schemas.openxmlformats.org/spreadsheetml/2006/main">
  <x:sheetFormatPr defaultRowHeight="15"/>
  <x:cols>
    <x:col min="1" max="1" width="23" hidden="0" customWidth="1"/>
    <x:col min="2" max="2" width="23" hidden="0" customWidth="1"/>
    <x:col min="3" max="3" width="23" hidden="0" customWidth="1"/>
    <x:col min="4" max="4" width="28" hidden="0" customWidth="1"/>
    <x:col min="5" max="5" width="23" hidden="0" customWidth="1"/>
    <x:col min="6" max="6" width="23" hidden="0" customWidth="1"/>
  </x:cols>
  <x:sheetData>
    <x:row r="1" ht="40" customHeight="1">
      <x:c r="A1" s="367" t="str">
        <x:v>OSCAR / MPSS — research checkpoint • 22 October 2026</x:v>
      </x:c>
      <x:c r="B1" s="367"/>
      <x:c r="C1" s="367"/>
      <x:c r="D1" s="367"/>
      <x:c r="E1" s="367"/>
      <x:c r="F1" s="367"/>
    </x:row>
    <x:row r="2" ht="28" customHeight="1">
      <x:c r="A2" s="374" t="str">
        <x:v>Technical profile v0.3.5 is unchanged. This is a source-grounded mapping and bounded donor review, not a deployed adapter or interoperability pass. No Operational Episode was adopted.</x:v>
      </x:c>
      <x:c r="B2" s="374"/>
      <x:c r="C2" s="374"/>
      <x:c r="D2" s="374"/>
      <x:c r="E2" s="374"/>
      <x:c r="F2" s="374"/>
    </x:row>
    <x:row r="3" ht="28" customHeight="1">
      <x:c r="A3" s="374"/>
      <x:c r="B3" s="374"/>
      <x:c r="C3" s="374"/>
      <x:c r="D3" s="374"/>
      <x:c r="E3" s="374"/>
      <x:c r="F3" s="374"/>
    </x:row>
    <x:row r="4">
      <x:c r="A4" s="369"/>
      <x:c r="B4" s="369"/>
      <x:c r="C4" s="369"/>
      <x:c r="D4" s="369"/>
      <x:c r="E4" s="369"/>
      <x:c r="F4" s="369"/>
    </x:row>
    <x:row r="5">
      <x:c r="A5" s="370" t="str">
        <x:v>Research inventory</x:v>
      </x:c>
      <x:c r="B5" s="370" t="str">
        <x:v>Count</x:v>
      </x:c>
      <x:c r="C5" s="369"/>
      <x:c r="D5" s="370" t="str">
        <x:v>Mapping classification</x:v>
      </x:c>
      <x:c r="E5" s="370" t="str">
        <x:v>Rows</x:v>
      </x:c>
      <x:c r="F5" s="369"/>
    </x:row>
    <x:row r="6">
      <x:c r="A6" s="369" t="str">
        <x:v>Master sources</x:v>
      </x:c>
      <x:c r="B6" s="371" t="n">
        <x:f>COUNTA(Sources!A6:A145)</x:f>
        <x:v>140</x:v>
      </x:c>
      <x:c r="C6" s="369"/>
      <x:c r="D6" s="369" t="str">
        <x:v>FIT_NATIVE</x:v>
      </x:c>
      <x:c r="E6" s="369" t="n">
        <x:f>COUNTIF('OSCAR Mapping'!F$2:F$28,D6)</x:f>
        <x:v>7</x:v>
      </x:c>
      <x:c r="F6" s="369"/>
    </x:row>
    <x:row r="7">
      <x:c r="A7" s="369" t="str">
        <x:v>New sources</x:v>
      </x:c>
      <x:c r="B7" s="371" t="n">
        <x:f>COUNTA(Sources!A130:A145)</x:f>
        <x:v>16</x:v>
      </x:c>
      <x:c r="C7" s="369"/>
      <x:c r="D7" s="369" t="str">
        <x:v>FIT_PROFILE</x:v>
      </x:c>
      <x:c r="E7" s="369" t="n">
        <x:f>COUNTIF('OSCAR Mapping'!F$2:F$28,D7)</x:f>
        <x:v>2</x:v>
      </x:c>
      <x:c r="F7" s="369"/>
    </x:row>
    <x:row r="8">
      <x:c r="A8" s="369" t="str">
        <x:v>Mapping rows</x:v>
      </x:c>
      <x:c r="B8" s="371" t="n">
        <x:f>COUNTA('OSCAR Mapping'!A2:A28)</x:f>
        <x:v>27</x:v>
      </x:c>
      <x:c r="C8" s="369"/>
      <x:c r="D8" s="369" t="str">
        <x:v>PARTIAL</x:v>
      </x:c>
      <x:c r="E8" s="369" t="n">
        <x:f>COUNTIF('OSCAR Mapping'!F$2:F$28,D8)</x:f>
        <x:v>5</x:v>
      </x:c>
      <x:c r="F8" s="369"/>
    </x:row>
    <x:row r="9">
      <x:c r="A9" s="369" t="str">
        <x:v>Residual questions</x:v>
      </x:c>
      <x:c r="B9" s="371" t="n">
        <x:f>COUNTA('OSCAR Residuals'!A2:A9)</x:f>
        <x:v>8</x:v>
      </x:c>
      <x:c r="C9" s="369"/>
      <x:c r="D9" s="369" t="str">
        <x:v>VOCABULARY_GAP</x:v>
      </x:c>
      <x:c r="E9" s="369" t="n">
        <x:f>COUNTIF('OSCAR Mapping'!F$2:F$28,D9)</x:f>
        <x:v>1</x:v>
      </x:c>
      <x:c r="F9" s="369"/>
    </x:row>
    <x:row r="10">
      <x:c r="A10" s="369" t="str">
        <x:v>New core classes</x:v>
      </x:c>
      <x:c r="B10" s="371" t="n">
        <x:v>0</x:v>
      </x:c>
      <x:c r="C10" s="369"/>
      <x:c r="D10" s="369" t="str">
        <x:v>SOURCE_GAP</x:v>
      </x:c>
      <x:c r="E10" s="369" t="n">
        <x:f>COUNTIF('OSCAR Mapping'!F$2:F$28,D10)</x:f>
        <x:v>4</x:v>
      </x:c>
      <x:c r="F10" s="369"/>
    </x:row>
    <x:row r="11">
      <x:c r="A11" s="369"/>
      <x:c r="B11" s="369"/>
      <x:c r="C11" s="369"/>
      <x:c r="D11" s="369" t="str">
        <x:v>BINDING_GAP</x:v>
      </x:c>
      <x:c r="E11" s="369" t="n">
        <x:f>COUNTIF('OSCAR Mapping'!F$2:F$28,D11)</x:f>
        <x:v>7</x:v>
      </x:c>
      <x:c r="F11" s="369"/>
    </x:row>
    <x:row r="12">
      <x:c r="A12" s="369"/>
      <x:c r="B12" s="369"/>
      <x:c r="C12" s="369"/>
      <x:c r="D12" s="369" t="str">
        <x:v>IMPLEMENTATION_ONLY</x:v>
      </x:c>
      <x:c r="E12" s="369" t="n">
        <x:f>COUNTIF('OSCAR Mapping'!F$2:F$28,D12)</x:f>
        <x:v>1</x:v>
      </x:c>
      <x:c r="F12" s="369"/>
    </x:row>
    <x:row r="13">
      <x:c r="A13" s="369"/>
      <x:c r="B13" s="369"/>
      <x:c r="C13" s="369"/>
      <x:c r="D13" s="369"/>
      <x:c r="E13" s="369"/>
      <x:c r="F13" s="369"/>
    </x:row>
    <x:row r="14" ht="24" customHeight="1">
      <x:c r="A14" s="375" t="str">
        <x:v>Counts describe selected mapping rows—not a percentage of OSCAR implemented or a score of standards compliance. FIT_NATIVE means an existing mechanism can express the selected fact; it does not mean a complete native-to-OGC adapter has been run.</x:v>
      </x:c>
      <x:c r="B14" s="375"/>
      <x:c r="C14" s="375"/>
      <x:c r="D14" s="375"/>
      <x:c r="E14" s="375"/>
      <x:c r="F14" s="375"/>
    </x:row>
    <x:row r="15" ht="24" customHeight="1">
      <x:c r="A15" s="375"/>
      <x:c r="B15" s="375"/>
      <x:c r="C15" s="375"/>
      <x:c r="D15" s="375"/>
      <x:c r="E15" s="375"/>
      <x:c r="F15" s="375"/>
    </x:row>
    <x:row r="16" ht="24" customHeight="1">
      <x:c r="A16" s="375"/>
      <x:c r="B16" s="375"/>
      <x:c r="C16" s="375"/>
      <x:c r="D16" s="375"/>
      <x:c r="E16" s="375"/>
      <x:c r="F16" s="375"/>
    </x:row>
    <x:row r="17">
      <x:c r="A17" s="369"/>
      <x:c r="B17" s="369"/>
      <x:c r="C17" s="369"/>
      <x:c r="D17" s="369"/>
      <x:c r="E17" s="369"/>
      <x:c r="F17" s="369"/>
    </x:row>
    <x:row r="18" ht="36" customHeight="1">
      <x:c r="A18" s="373" t="str">
        <x:v>Read first</x:v>
      </x:c>
      <x:c r="B18" s="373" t="str">
        <x:v>OSCAR Mapping</x:v>
      </x:c>
      <x:c r="C18" s="373" t="str">
        <x:v>OSCAR Residuals</x:v>
      </x:c>
      <x:c r="D18" s="373" t="str">
        <x:v>OSCAR Dispositions</x:v>
      </x:c>
      <x:c r="E18" s="373" t="str">
        <x:v>Donor Lineage</x:v>
      </x:c>
      <x:c r="F18" s="373" t="str">
        <x:v>Conformance Plan</x:v>
      </x:c>
    </x:row>
    <x:row r="19" ht="36" customHeight="1">
      <x:c r="A19" s="373" t="str">
        <x:v>Main result</x:v>
      </x:c>
      <x:c r="B19" s="373" t="str">
        <x:v>Existing structure reusable</x:v>
      </x:c>
      <x:c r="C19" s="373" t="str">
        <x:v>Exact remainder</x:v>
      </x:c>
      <x:c r="D19" s="373" t="str">
        <x:v>Recorded decisions</x:v>
      </x:c>
      <x:c r="E19" s="373" t="str">
        <x:v>Direct reuse evidence</x:v>
      </x:c>
      <x:c r="F19" s="373" t="str">
        <x:v>Implementation boundaries</x:v>
      </x:c>
    </x:row>
    <x:row r="20" ht="36" customHeight="1">
      <x:c r="A20" s="373" t="str">
        <x:v>Baseline</x:v>
      </x:c>
      <x:c r="B20" s="373" t="str">
        <x:v>MPSS v0.3.5</x:v>
      </x:c>
      <x:c r="C20" s="373" t="str">
        <x:v>Research v0.10</x:v>
      </x:c>
      <x:c r="D20" s="373" t="str">
        <x:v>PITON v4.6</x:v>
      </x:c>
      <x:c r="E20" s="373" t="str">
        <x:v>Update plan v1.6</x:v>
      </x:c>
      <x:c r="F20" s="373" t="str">
        <x:v>No deployment writes</x:v>
      </x:c>
    </x:row>
    <x:row r="21" ht="36" customHeight="1">
      <x:c r="A21" s="373" t="str">
        <x:v>Local checks</x:v>
      </x:c>
      <x:c r="B21" s="373" t="str">
        <x:v>18 passed</x:v>
      </x:c>
      <x:c r="C21" s="373" t="str">
        <x:v>Finite guard tests only</x:v>
      </x:c>
      <x:c r="D21" s="373" t="str">
        <x:v>No N42 validation</x:v>
      </x:c>
      <x:c r="E21" s="373" t="str">
        <x:v>No full PROV validation</x:v>
      </x:c>
      <x:c r="F21" s="373" t="str">
        <x:v>No live client test</x:v>
      </x:c>
    </x:row>
  </x:sheetData>
  <x:mergeCells>
    <x:mergeCell ref="A1:F1"/>
    <x:mergeCell ref="A2:F3"/>
    <x:mergeCell ref="A14:F16"/>
  </x:mergeCells>
  <x:pageMargins left="0.7" right="0.7" top="0.75" bottom="0.75" header="0.3" footer="0.3"/>
</x:worksheet>
</file>